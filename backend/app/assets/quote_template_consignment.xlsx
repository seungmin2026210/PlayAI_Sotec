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위탁견적서" sheetId="1" state="visible" r:id="rId3"/>
  </sheets>
  <definedNames>
    <definedName function="false" hidden="false" localSheetId="0" name="_xlnm.Print_Area" vbProcedure="false">위탁견적서!$A$1:$N$41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<sst xmlns="http://schemas.openxmlformats.org/spreadsheetml/2006/main" count="62" uniqueCount="60">
  <si>
    <t xml:space="preserve">견     적     서</t>
  </si>
  <si>
    <r>
      <rPr>
        <b val="true"/>
        <sz val="10"/>
        <color rgb="FF000000"/>
        <rFont val="Noto Sans CJK SC"/>
        <family val="2"/>
      </rPr>
      <t xml:space="preserve">견적</t>
    </r>
    <r>
      <rPr>
        <b val="true"/>
        <sz val="10"/>
        <color rgb="FF000000"/>
        <rFont val="맑은 고딕"/>
        <family val="0"/>
        <charset val="1"/>
      </rPr>
      <t xml:space="preserve">NO</t>
    </r>
  </si>
  <si>
    <r>
      <rPr>
        <b val="true"/>
        <sz val="9"/>
        <color rgb="FF000000"/>
        <rFont val="Noto Sans CJK SC"/>
        <family val="2"/>
      </rPr>
      <t xml:space="preserve">혁신 </t>
    </r>
    <r>
      <rPr>
        <b val="true"/>
        <sz val="9"/>
        <color rgb="FF000000"/>
        <rFont val="맑은 고딕"/>
        <family val="0"/>
        <charset val="1"/>
      </rPr>
      <t xml:space="preserve">2026-B</t>
    </r>
  </si>
  <si>
    <t xml:space="preserve">005</t>
  </si>
  <si>
    <r>
      <rPr>
        <b val="true"/>
        <sz val="9"/>
        <color rgb="FF000000"/>
        <rFont val="Noto Sans CJK SC"/>
        <family val="2"/>
      </rPr>
      <t xml:space="preserve">견적일자</t>
    </r>
    <r>
      <rPr>
        <b val="true"/>
        <sz val="9"/>
        <color rgb="FF000000"/>
        <rFont val="맑은 고딕"/>
        <family val="0"/>
        <charset val="1"/>
      </rPr>
      <t xml:space="preserve">:</t>
    </r>
  </si>
  <si>
    <t xml:space="preserve">2026/5/13</t>
  </si>
  <si>
    <r>
      <rPr>
        <b val="true"/>
        <sz val="8"/>
        <color rgb="FF000000"/>
        <rFont val="Noto Sans CJK SC"/>
        <family val="2"/>
      </rPr>
      <t xml:space="preserve">견적유효일</t>
    </r>
    <r>
      <rPr>
        <b val="true"/>
        <sz val="8"/>
        <color rgb="FF000000"/>
        <rFont val="맑은 고딕"/>
        <family val="0"/>
        <charset val="1"/>
      </rPr>
      <t xml:space="preserve">: </t>
    </r>
    <r>
      <rPr>
        <b val="true"/>
        <sz val="8"/>
        <color rgb="FF000000"/>
        <rFont val="Noto Sans CJK SC"/>
        <family val="2"/>
      </rPr>
      <t xml:space="preserve">견적일로부터 </t>
    </r>
    <r>
      <rPr>
        <b val="true"/>
        <sz val="8"/>
        <color rgb="FF000000"/>
        <rFont val="맑은 고딕"/>
        <family val="0"/>
        <charset val="1"/>
      </rPr>
      <t xml:space="preserve">30</t>
    </r>
    <r>
      <rPr>
        <b val="true"/>
        <sz val="8"/>
        <color rgb="FF000000"/>
        <rFont val="Noto Sans CJK SC"/>
        <family val="2"/>
      </rPr>
      <t xml:space="preserve">일</t>
    </r>
  </si>
  <si>
    <t xml:space="preserve">공
급
자</t>
  </si>
  <si>
    <t xml:space="preserve">등록번호</t>
  </si>
  <si>
    <t xml:space="preserve">612-81-23163</t>
  </si>
  <si>
    <t xml:space="preserve">삼성중공업㈜</t>
  </si>
  <si>
    <r>
      <rPr>
        <b val="true"/>
        <sz val="11"/>
        <color rgb="FF000000"/>
        <rFont val="Noto Sans CJK SC"/>
        <family val="2"/>
      </rPr>
      <t xml:space="preserve">자동화인프라</t>
    </r>
    <r>
      <rPr>
        <b val="true"/>
        <sz val="11"/>
        <color rgb="FF000000"/>
        <rFont val="맑은 고딕"/>
        <family val="0"/>
        <charset val="1"/>
      </rPr>
      <t xml:space="preserve">T/F</t>
    </r>
  </si>
  <si>
    <t xml:space="preserve">상    호</t>
  </si>
  <si>
    <t xml:space="preserve">쏘테크㈜</t>
  </si>
  <si>
    <t xml:space="preserve">대 표 자</t>
  </si>
  <si>
    <t xml:space="preserve">선인규</t>
  </si>
  <si>
    <r>
      <rPr>
        <b val="true"/>
        <sz val="11"/>
        <color rgb="FF000000"/>
        <rFont val="Noto Sans CJK SC"/>
        <family val="2"/>
      </rPr>
      <t xml:space="preserve">조중호 </t>
    </r>
    <r>
      <rPr>
        <b val="true"/>
        <sz val="11"/>
        <color rgb="FF000000"/>
        <rFont val="맑은 고딕"/>
        <family val="0"/>
        <charset val="1"/>
      </rPr>
      <t xml:space="preserve">TF</t>
    </r>
    <r>
      <rPr>
        <b val="true"/>
        <sz val="11"/>
        <color rgb="FF000000"/>
        <rFont val="Noto Sans CJK SC"/>
        <family val="2"/>
      </rPr>
      <t xml:space="preserve">리더님</t>
    </r>
  </si>
  <si>
    <t xml:space="preserve">귀하</t>
  </si>
  <si>
    <t xml:space="preserve">주    소</t>
  </si>
  <si>
    <r>
      <rPr>
        <b val="true"/>
        <sz val="12"/>
        <color rgb="FF1F3864"/>
        <rFont val="Noto Sans CJK SC"/>
        <family val="2"/>
      </rPr>
      <t xml:space="preserve">경남 거제 장평</t>
    </r>
    <r>
      <rPr>
        <b val="true"/>
        <sz val="12"/>
        <color rgb="FF1F3864"/>
        <rFont val="맑은 고딕"/>
        <family val="0"/>
        <charset val="1"/>
      </rPr>
      <t xml:space="preserve">3</t>
    </r>
    <r>
      <rPr>
        <b val="true"/>
        <sz val="12"/>
        <color rgb="FF1F3864"/>
        <rFont val="Noto Sans CJK SC"/>
        <family val="2"/>
      </rPr>
      <t xml:space="preserve">로 </t>
    </r>
    <r>
      <rPr>
        <b val="true"/>
        <sz val="12"/>
        <color rgb="FF1F3864"/>
        <rFont val="맑은 고딕"/>
        <family val="0"/>
        <charset val="1"/>
      </rPr>
      <t xml:space="preserve">75</t>
    </r>
  </si>
  <si>
    <r>
      <rPr>
        <sz val="11"/>
        <color rgb="FF000000"/>
        <rFont val="맑은 고딕"/>
        <family val="0"/>
        <charset val="1"/>
      </rPr>
      <t xml:space="preserve">C.C </t>
    </r>
    <r>
      <rPr>
        <sz val="11"/>
        <color rgb="FF000000"/>
        <rFont val="Noto Sans CJK SC"/>
        <family val="2"/>
      </rPr>
      <t xml:space="preserve">이경수 프로님</t>
    </r>
  </si>
  <si>
    <t xml:space="preserve">업    태</t>
  </si>
  <si>
    <t xml:space="preserve">서비스</t>
  </si>
  <si>
    <t xml:space="preserve">종    목</t>
  </si>
  <si>
    <t xml:space="preserve">선박임가공</t>
  </si>
  <si>
    <r>
      <rPr>
        <sz val="11"/>
        <color rgb="FF000000"/>
        <rFont val="Noto Sans CJK SC"/>
        <family val="2"/>
      </rPr>
      <t xml:space="preserve">아래와 같이 견적합니다</t>
    </r>
    <r>
      <rPr>
        <sz val="11"/>
        <color rgb="FF000000"/>
        <rFont val="맑은 고딕"/>
        <family val="0"/>
        <charset val="1"/>
      </rPr>
      <t xml:space="preserve">.</t>
    </r>
  </si>
  <si>
    <t xml:space="preserve">정보통신업</t>
  </si>
  <si>
    <t xml:space="preserve">응용 소프트웨어 개발 및 공급업</t>
  </si>
  <si>
    <t xml:space="preserve">기술검사</t>
  </si>
  <si>
    <t xml:space="preserve">전화번호</t>
  </si>
  <si>
    <t xml:space="preserve">055-630-1263</t>
  </si>
  <si>
    <t xml:space="preserve">F  A  X</t>
  </si>
  <si>
    <t xml:space="preserve">055-631-5286</t>
  </si>
  <si>
    <r>
      <rPr>
        <b val="true"/>
        <sz val="10"/>
        <color rgb="FF1F3864"/>
        <rFont val="Noto Sans CJK SC"/>
        <family val="2"/>
      </rPr>
      <t xml:space="preserve">견적 작성처 정보 </t>
    </r>
    <r>
      <rPr>
        <b val="true"/>
        <sz val="10"/>
        <color rgb="FF1F3864"/>
        <rFont val="맑은 고딕"/>
        <family val="0"/>
        <charset val="1"/>
      </rPr>
      <t xml:space="preserve">: </t>
    </r>
    <r>
      <rPr>
        <b val="true"/>
        <sz val="10"/>
        <color rgb="FF1F3864"/>
        <rFont val="Noto Sans CJK SC"/>
        <family val="2"/>
      </rPr>
      <t xml:space="preserve">스마트혁신팀 스마트개발그룹 </t>
    </r>
    <r>
      <rPr>
        <b val="true"/>
        <sz val="10"/>
        <color rgb="FF1F3864"/>
        <rFont val="맑은 고딕"/>
        <family val="0"/>
        <charset val="1"/>
      </rPr>
      <t xml:space="preserve">/ </t>
    </r>
    <r>
      <rPr>
        <b val="true"/>
        <sz val="10"/>
        <color rgb="FF1F3864"/>
        <rFont val="Noto Sans CJK SC"/>
        <family val="2"/>
      </rPr>
      <t xml:space="preserve">구성현 그룹장</t>
    </r>
  </si>
  <si>
    <r>
      <rPr>
        <sz val="11"/>
        <color rgb="FF000000"/>
        <rFont val="맑은 고딕"/>
        <family val="0"/>
        <charset val="1"/>
      </rPr>
      <t xml:space="preserve">1. </t>
    </r>
    <r>
      <rPr>
        <sz val="11"/>
        <color rgb="FF000000"/>
        <rFont val="Noto Sans CJK SC"/>
        <family val="2"/>
      </rPr>
      <t xml:space="preserve">귀사의 일익 번창하심을 기원합니다</t>
    </r>
    <r>
      <rPr>
        <sz val="11"/>
        <color rgb="FF000000"/>
        <rFont val="맑은 고딕"/>
        <family val="0"/>
        <charset val="1"/>
      </rPr>
      <t xml:space="preserve">.</t>
    </r>
  </si>
  <si>
    <r>
      <rPr>
        <sz val="11"/>
        <color rgb="FF000000"/>
        <rFont val="맑은 고딕"/>
        <family val="0"/>
        <charset val="1"/>
      </rPr>
      <t xml:space="preserve">2. </t>
    </r>
    <r>
      <rPr>
        <sz val="11"/>
        <color rgb="FF000000"/>
        <rFont val="Noto Sans CJK SC"/>
        <family val="2"/>
      </rPr>
      <t xml:space="preserve">귀부서의 업무 협조에 깊은 감사를 드리며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Noto Sans CJK SC"/>
        <family val="2"/>
      </rPr>
      <t xml:space="preserve">상기의 건 관련하여 견적서를 아래와 같이 제출합니다</t>
    </r>
    <r>
      <rPr>
        <sz val="11"/>
        <color rgb="FF000000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</si>
  <si>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Noto Sans CJK SC"/>
        <family val="2"/>
      </rPr>
      <t xml:space="preserve">합계금액</t>
    </r>
    <r>
      <rPr>
        <b val="true"/>
        <sz val="12"/>
        <color rgb="FF000000"/>
        <rFont val="맑은 고딕"/>
        <family val="0"/>
        <charset val="1"/>
      </rPr>
      <t xml:space="preserve">(</t>
    </r>
    <r>
      <rPr>
        <b val="true"/>
        <sz val="12"/>
        <color rgb="FF000000"/>
        <rFont val="Noto Sans CJK SC"/>
        <family val="2"/>
      </rPr>
      <t xml:space="preserve">공급가액</t>
    </r>
    <r>
      <rPr>
        <b val="true"/>
        <sz val="12"/>
        <color rgb="FF000000"/>
        <rFont val="맑은 고딕"/>
        <family val="0"/>
        <charset val="1"/>
      </rPr>
      <t xml:space="preserve">+</t>
    </r>
    <r>
      <rPr>
        <b val="true"/>
        <sz val="12"/>
        <color rgb="FF000000"/>
        <rFont val="Noto Sans CJK SC"/>
        <family val="2"/>
      </rPr>
      <t xml:space="preserve">세액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</si>
  <si>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일금  사천사백만원정</t>
  </si>
  <si>
    <r>
      <rPr>
        <b val="true"/>
        <sz val="11"/>
        <color rgb="FF000000"/>
        <rFont val="Noto Sans CJK SC"/>
        <family val="2"/>
      </rPr>
      <t xml:space="preserve">용역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계약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</si>
  <si>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Noto Sans CJK SC"/>
        <family val="2"/>
      </rPr>
      <t xml:space="preserve">용역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계약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Noto Sans CJK SC"/>
        <family val="2"/>
      </rPr>
      <t xml:space="preserve">기간</t>
    </r>
  </si>
  <si>
    <t xml:space="preserve">공급가액</t>
  </si>
  <si>
    <t xml:space="preserve">세액</t>
  </si>
  <si>
    <t xml:space="preserve">비고</t>
  </si>
  <si>
    <t xml:space="preserve">크레인 충돌 방지 시스템</t>
  </si>
  <si>
    <r>
      <rPr>
        <sz val="10"/>
        <color rgb="FF000000"/>
        <rFont val="Noto Sans CJK SC"/>
        <family val="2"/>
      </rPr>
      <t xml:space="preserve">프레임워크 및 </t>
    </r>
    <r>
      <rPr>
        <sz val="10"/>
        <color rgb="FF000000"/>
        <rFont val="맑은 고딕"/>
        <family val="0"/>
        <charset val="1"/>
      </rPr>
      <t xml:space="preserve">WAS </t>
    </r>
    <r>
      <rPr>
        <sz val="10"/>
        <color rgb="FF000000"/>
        <rFont val="Noto Sans CJK SC"/>
        <family val="2"/>
      </rPr>
      <t xml:space="preserve">환경 구축</t>
    </r>
  </si>
  <si>
    <t xml:space="preserve">프론트엔드 개발</t>
  </si>
  <si>
    <t xml:space="preserve">2026.06.01</t>
  </si>
  <si>
    <t xml:space="preserve">~</t>
  </si>
  <si>
    <t xml:space="preserve">2026.08.31</t>
  </si>
  <si>
    <t xml:space="preserve">백엔드 개발</t>
  </si>
  <si>
    <t xml:space="preserve">공  급  가  액</t>
  </si>
  <si>
    <r>
      <rPr>
        <b val="true"/>
        <sz val="9"/>
        <color rgb="FF000000"/>
        <rFont val="Noto Sans CJK SC"/>
        <family val="2"/>
      </rPr>
      <t xml:space="preserve">원</t>
    </r>
    <r>
      <rPr>
        <b val="true"/>
        <sz val="9"/>
        <color rgb="FF000000"/>
        <rFont val="맑은 고딕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십만단위절사</t>
    </r>
    <r>
      <rPr>
        <b val="true"/>
        <sz val="9"/>
        <color rgb="FF000000"/>
        <rFont val="맑은 고딕"/>
        <family val="0"/>
        <charset val="1"/>
      </rPr>
      <t xml:space="preserve">)</t>
    </r>
  </si>
  <si>
    <t xml:space="preserve">세          액</t>
  </si>
  <si>
    <t xml:space="preserve">원</t>
  </si>
  <si>
    <t xml:space="preserve">합          계</t>
  </si>
  <si>
    <r>
      <rPr>
        <sz val="11"/>
        <color rgb="FF000000"/>
        <rFont val="맑은 고딕"/>
        <family val="0"/>
        <charset val="1"/>
      </rPr>
      <t xml:space="preserve">3. </t>
    </r>
    <r>
      <rPr>
        <sz val="11"/>
        <color rgb="FF000000"/>
        <rFont val="Noto Sans CJK SC"/>
        <family val="2"/>
      </rPr>
      <t xml:space="preserve">대금 결제조건 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귀사의 결제 조건에 따름</t>
    </r>
    <r>
      <rPr>
        <sz val="11"/>
        <color rgb="FF000000"/>
        <rFont val="맑은 고딕"/>
        <family val="0"/>
        <charset val="1"/>
      </rPr>
      <t xml:space="preserve">.</t>
    </r>
  </si>
  <si>
    <r>
      <rPr>
        <sz val="11"/>
        <color rgb="FF000000"/>
        <rFont val="맑은 고딕"/>
        <family val="0"/>
        <charset val="1"/>
      </rPr>
      <t xml:space="preserve">4. </t>
    </r>
    <r>
      <rPr>
        <sz val="11"/>
        <color rgb="FF000000"/>
        <rFont val="Noto Sans CJK SC"/>
        <family val="2"/>
      </rPr>
      <t xml:space="preserve">납품조건</t>
    </r>
  </si>
  <si>
    <r>
      <rPr>
        <sz val="11"/>
        <color rgb="FF000000"/>
        <rFont val="맑은 고딕"/>
        <family val="0"/>
        <charset val="1"/>
      </rPr>
      <t xml:space="preserve">   - </t>
    </r>
    <r>
      <rPr>
        <sz val="11"/>
        <color rgb="FF000000"/>
        <rFont val="Noto Sans CJK SC"/>
        <family val="2"/>
      </rPr>
      <t xml:space="preserve">제출용 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귀사의 작성 기준에 준함</t>
    </r>
    <r>
      <rPr>
        <sz val="11"/>
        <color rgb="FF000000"/>
        <rFont val="맑은 고딕"/>
        <family val="0"/>
        <charset val="1"/>
      </rPr>
      <t xml:space="preserve">.</t>
    </r>
  </si>
  <si>
    <r>
      <rPr>
        <sz val="11"/>
        <color rgb="FF000000"/>
        <rFont val="맑은 고딕"/>
        <family val="0"/>
        <charset val="1"/>
      </rPr>
      <t xml:space="preserve">5. WORK SCOPE : </t>
    </r>
    <r>
      <rPr>
        <sz val="11"/>
        <color rgb="FF000000"/>
        <rFont val="Noto Sans CJK SC"/>
        <family val="2"/>
      </rPr>
      <t xml:space="preserve">귀사의 설계용역 범위내</t>
    </r>
  </si>
  <si>
    <r>
      <rPr>
        <sz val="11"/>
        <color rgb="FF000000"/>
        <rFont val="맑은 고딕"/>
        <family val="0"/>
        <charset val="1"/>
      </rPr>
      <t xml:space="preserve">6. </t>
    </r>
    <r>
      <rPr>
        <sz val="11"/>
        <color rgb="FF000000"/>
        <rFont val="Noto Sans CJK SC"/>
        <family val="2"/>
      </rPr>
      <t xml:space="preserve">납  기 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Noto Sans CJK SC"/>
        <family val="2"/>
      </rPr>
      <t xml:space="preserve">귀사의 일정에 준하여 일정표 제출 예정임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</si>
</sst>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;\-#,##0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00000"/>
      <name val="Noto Sans CJK SC"/>
      <family val="2"/>
    </font>
    <font>
      <b val="true"/>
      <sz val="10"/>
      <color rgb="FF000000"/>
      <name val="Noto Sans CJK SC"/>
      <family val="2"/>
    </font>
    <font>
      <b val="true"/>
      <sz val="10"/>
      <color rgb="FF000000"/>
      <name val="맑은 고딕"/>
      <family val="0"/>
      <charset val="1"/>
    </font>
    <font>
      <b val="true"/>
      <sz val="9"/>
      <color rgb="FF000000"/>
      <name val="Noto Sans CJK SC"/>
      <family val="2"/>
    </font>
    <font>
      <b val="true"/>
      <sz val="9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8"/>
      <color rgb="FF000000"/>
      <name val="Noto Sans CJK SC"/>
      <family val="2"/>
    </font>
    <font>
      <b val="true"/>
      <sz val="8"/>
      <color rgb="FF000000"/>
      <name val="맑은 고딕"/>
      <family val="0"/>
      <charset val="1"/>
    </font>
    <font>
      <b val="true"/>
      <sz val="11"/>
      <color rgb="FF000000"/>
      <name val="Noto Sans CJK SC"/>
      <family val="2"/>
    </font>
    <font>
      <b val="true"/>
      <sz val="12"/>
      <color rgb="FF000000"/>
      <name val="맑은 고딕"/>
      <family val="0"/>
      <charset val="1"/>
    </font>
    <font>
      <b val="true"/>
      <sz val="11"/>
      <color rgb="FF1F3864"/>
      <name val="Noto Sans CJK SC"/>
      <family val="2"/>
    </font>
    <font>
      <sz val="10"/>
      <color rgb="FF000000"/>
      <name val="맑은 고딕"/>
      <family val="0"/>
      <charset val="1"/>
    </font>
    <font>
      <b val="true"/>
      <sz val="7.5"/>
      <color rgb="FF000000"/>
      <name val="Noto Sans CJK SC"/>
      <family val="2"/>
    </font>
    <font>
      <b val="true"/>
      <sz val="12"/>
      <color rgb="FF1F3864"/>
      <name val="Noto Sans CJK SC"/>
      <family val="2"/>
    </font>
    <font>
      <b val="true"/>
      <sz val="12"/>
      <color rgb="FF1F3864"/>
      <name val="맑은 고딕"/>
      <family val="0"/>
      <charset val="1"/>
    </font>
    <font>
      <sz val="11"/>
      <color rgb="FF000000"/>
      <name val="맑은 고딕"/>
      <family val="0"/>
      <charset val="1"/>
    </font>
    <font>
      <sz val="11"/>
      <color rgb="FF000000"/>
      <name val="Noto Sans CJK SC"/>
      <family val="2"/>
    </font>
    <font>
      <b val="true"/>
      <sz val="7.5"/>
      <color rgb="FF1F3864"/>
      <name val="Noto Sans CJK SC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1F3864"/>
      <name val="Noto Sans CJK SC"/>
      <family val="2"/>
    </font>
    <font>
      <b val="true"/>
      <sz val="10"/>
      <color rgb="FF1F3864"/>
      <name val="맑은 고딕"/>
      <family val="0"/>
      <charset val="1"/>
    </font>
    <font>
      <b val="true"/>
      <sz val="12"/>
      <color rgb="FF000000"/>
      <name val="Noto Sans CJK SC"/>
      <family val="2"/>
    </font>
    <font>
      <b val="true"/>
      <u val="single"/>
      <sz val="12"/>
      <color rgb="FF000000"/>
      <name val="Noto Sans CJK SC"/>
      <family val="2"/>
    </font>
    <font>
      <b val="true"/>
      <sz val="10.5"/>
      <color rgb="FF000000"/>
      <name val="Noto Sans CJK SC"/>
      <family val="2"/>
    </font>
    <font>
      <sz val="8"/>
      <color rgb="FF000000"/>
      <name val="맑은 고딕"/>
      <family val="0"/>
      <charset val="1"/>
    </font>
    <font>
      <sz val="10"/>
      <color rgb="FF000000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DDD9C4"/>
        <bgColor rgb="FFBFBFBF"/>
      </patternFill>
    </fill>
    <fill>
      <patternFill patternType="solid">
        <fgColor rgb="FFBFBFBF"/>
        <bgColor rgb="FFA6A6A6"/>
      </patternFill>
    </fill>
    <fill>
      <patternFill patternType="solid">
        <fgColor rgb="FFFFFF00"/>
        <bgColor rgb="FFFFFF00"/>
      </patternFill>
    </fill>
    <fill>
      <patternFill patternType="solid">
        <fgColor rgb="FFF4B183"/>
        <bgColor rgb="FFFF99CC"/>
      </patternFill>
    </fill>
    <fill>
      <patternFill patternType="solid">
        <fgColor rgb="FFA6A6A6"/>
        <bgColor rgb="FFBFBFBF"/>
      </patternFill>
    </fill>
  </fills>
  <borders count="3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dotted"/>
      <top style="medium"/>
      <bottom style="medium"/>
      <diagonal/>
    </border>
    <border diagonalUp="false" diagonalDown="false">
      <left style="dotted"/>
      <right style="dotted"/>
      <top style="medium"/>
      <bottom style="dotted"/>
      <diagonal/>
    </border>
    <border diagonalUp="false" diagonalDown="false">
      <left style="dotted"/>
      <right style="medium"/>
      <top style="medium"/>
      <bottom style="dotted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medium"/>
      <top style="dotted"/>
      <bottom style="dotted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dotted"/>
      <right style="dotted"/>
      <top style="dotted"/>
      <bottom style="medium"/>
      <diagonal/>
    </border>
    <border diagonalUp="false" diagonalDown="false">
      <left style="dotted"/>
      <right style="medium"/>
      <top style="dotted"/>
      <bottom style="medium"/>
      <diagonal/>
    </border>
    <border diagonalUp="false" diagonalDown="false">
      <left style="thin"/>
      <right style="dotted"/>
      <top style="thin"/>
      <bottom style="thin"/>
      <diagonal/>
    </border>
    <border diagonalUp="false" diagonalDown="false">
      <left style="dotted"/>
      <right style="dotted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dotted"/>
      <top style="medium"/>
      <bottom style="dotted"/>
      <diagonal/>
    </border>
    <border diagonalUp="false" diagonalDown="false">
      <left style="thin"/>
      <right style="dotted"/>
      <top style="thin"/>
      <bottom style="dotted"/>
      <diagonal/>
    </border>
    <border diagonalUp="false" diagonalDown="false">
      <left style="dotted"/>
      <right style="thin"/>
      <top style="thin"/>
      <bottom style="dotted"/>
      <diagonal/>
    </border>
    <border diagonalUp="false" diagonalDown="false">
      <left style="medium"/>
      <right style="dotted"/>
      <top style="dotted"/>
      <bottom style="dotted"/>
      <diagonal/>
    </border>
    <border diagonalUp="false" diagonalDown="false">
      <left style="thin"/>
      <right style="dotted"/>
      <top style="dotted"/>
      <bottom style="dotted"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 style="medium"/>
      <right style="dotted"/>
      <top style="dotted"/>
      <bottom style="medium"/>
      <diagonal/>
    </border>
    <border diagonalUp="false" diagonalDown="false">
      <left style="thin"/>
      <right style="dotted"/>
      <top style="dotted"/>
      <bottom style="thin"/>
      <diagonal/>
    </border>
    <border diagonalUp="false" diagonalDown="false">
      <left style="dotted"/>
      <right style="thin"/>
      <top style="dotted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0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6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6" borderId="2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6" borderId="2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28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6" borderId="2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6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7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2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6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6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7" fillId="6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1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5" fillId="6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6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1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5" fillId="6" borderId="1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9C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N41"/>
  <sheetViews>
    <sheetView showFormulas="false" showGridLines="fals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11.8"/>
    <col collapsed="false" customWidth="true" hidden="false" outlineLevel="0" max="4" min="4" style="0" width="12.1"/>
    <col collapsed="false" customWidth="true" hidden="false" outlineLevel="0" max="5" min="5" style="0" width="8.61"/>
    <col collapsed="false" customWidth="true" hidden="false" outlineLevel="0" max="6" min="6" style="0" width="3.2"/>
    <col collapsed="false" customWidth="true" hidden="false" outlineLevel="0" max="7" min="7" style="0" width="2.6"/>
    <col collapsed="false" customWidth="true" hidden="false" outlineLevel="0" max="8" min="8" style="0" width="5"/>
    <col collapsed="false" customWidth="true" hidden="false" outlineLevel="0" max="9" min="9" style="0" width="5.2"/>
    <col collapsed="false" customWidth="true" hidden="false" outlineLevel="0" max="10" min="10" style="0" width="18.7"/>
    <col collapsed="false" customWidth="true" hidden="false" outlineLevel="0" max="12" min="12" style="0" width="4.5"/>
    <col collapsed="false" customWidth="true" hidden="false" outlineLevel="0" max="13" min="13" style="0" width="11"/>
    <col collapsed="false" customWidth="true" hidden="false" outlineLevel="0" max="14" min="14" style="0" width="4.8"/>
  </cols>
  <sheetData>
    <row r="1" customFormat="false" ht="6.75" hidden="false" customHeight="true" outlineLevel="0" collapsed="false"/>
    <row r="2" customFormat="false" ht="42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2" t="s">
        <v>1</v>
      </c>
      <c r="L2" s="2"/>
      <c r="M2" s="3" t="s">
        <v>2</v>
      </c>
      <c r="N2" s="4" t="s">
        <v>3</v>
      </c>
    </row>
    <row r="3" customFormat="false" ht="24" hidden="false" customHeight="true" outlineLevel="0" collapsed="false">
      <c r="B3" s="5" t="s">
        <v>4</v>
      </c>
      <c r="C3" s="6" t="s">
        <v>5</v>
      </c>
      <c r="D3" s="7" t="s">
        <v>6</v>
      </c>
      <c r="E3" s="7"/>
      <c r="F3" s="7"/>
      <c r="G3" s="8" t="s">
        <v>7</v>
      </c>
      <c r="H3" s="9" t="s">
        <v>8</v>
      </c>
      <c r="I3" s="9"/>
      <c r="J3" s="10" t="s">
        <v>9</v>
      </c>
      <c r="K3" s="10"/>
      <c r="L3" s="10"/>
      <c r="M3" s="10"/>
      <c r="N3" s="10"/>
    </row>
    <row r="4" customFormat="false" ht="24" hidden="false" customHeight="true" outlineLevel="0" collapsed="false">
      <c r="B4" s="11" t="s">
        <v>10</v>
      </c>
      <c r="C4" s="11"/>
      <c r="D4" s="12" t="s">
        <v>11</v>
      </c>
      <c r="E4" s="12"/>
      <c r="F4" s="12"/>
      <c r="G4" s="8"/>
      <c r="H4" s="13" t="s">
        <v>12</v>
      </c>
      <c r="I4" s="13"/>
      <c r="J4" s="14" t="s">
        <v>13</v>
      </c>
      <c r="K4" s="15" t="s">
        <v>14</v>
      </c>
      <c r="L4" s="16" t="s">
        <v>15</v>
      </c>
      <c r="M4" s="16"/>
      <c r="N4" s="16"/>
    </row>
    <row r="5" customFormat="false" ht="24" hidden="false" customHeight="true" outlineLevel="0" collapsed="false">
      <c r="B5" s="17"/>
      <c r="C5" s="17"/>
      <c r="D5" s="18" t="s">
        <v>16</v>
      </c>
      <c r="E5" s="18"/>
      <c r="F5" s="19" t="s">
        <v>17</v>
      </c>
      <c r="G5" s="8"/>
      <c r="H5" s="13" t="s">
        <v>18</v>
      </c>
      <c r="I5" s="13"/>
      <c r="J5" s="20" t="s">
        <v>19</v>
      </c>
      <c r="K5" s="20"/>
      <c r="L5" s="20"/>
      <c r="M5" s="20"/>
      <c r="N5" s="20"/>
    </row>
    <row r="6" customFormat="false" ht="24" hidden="false" customHeight="true" outlineLevel="0" collapsed="false">
      <c r="B6" s="21" t="s">
        <v>20</v>
      </c>
      <c r="C6" s="21"/>
      <c r="D6" s="21"/>
      <c r="E6" s="21"/>
      <c r="F6" s="21"/>
      <c r="G6" s="8"/>
      <c r="H6" s="13" t="s">
        <v>21</v>
      </c>
      <c r="I6" s="13"/>
      <c r="J6" s="14" t="s">
        <v>22</v>
      </c>
      <c r="K6" s="15" t="s">
        <v>23</v>
      </c>
      <c r="L6" s="16" t="s">
        <v>24</v>
      </c>
      <c r="M6" s="16"/>
      <c r="N6" s="16"/>
    </row>
    <row r="7" customFormat="false" ht="24" hidden="false" customHeight="true" outlineLevel="0" collapsed="false">
      <c r="B7" s="22" t="s">
        <v>25</v>
      </c>
      <c r="C7" s="22"/>
      <c r="D7" s="22"/>
      <c r="E7" s="22"/>
      <c r="F7" s="22"/>
      <c r="G7" s="8"/>
      <c r="H7" s="13"/>
      <c r="I7" s="13"/>
      <c r="J7" s="14" t="s">
        <v>26</v>
      </c>
      <c r="K7" s="15"/>
      <c r="L7" s="23" t="s">
        <v>27</v>
      </c>
      <c r="M7" s="23"/>
      <c r="N7" s="23"/>
    </row>
    <row r="8" customFormat="false" ht="24" hidden="false" customHeight="true" outlineLevel="0" collapsed="false">
      <c r="B8" s="24"/>
      <c r="C8" s="24"/>
      <c r="D8" s="24"/>
      <c r="E8" s="24"/>
      <c r="F8" s="24"/>
      <c r="G8" s="8"/>
      <c r="H8" s="13"/>
      <c r="I8" s="13"/>
      <c r="J8" s="14" t="s">
        <v>22</v>
      </c>
      <c r="K8" s="15"/>
      <c r="L8" s="16" t="s">
        <v>28</v>
      </c>
      <c r="M8" s="16"/>
      <c r="N8" s="16"/>
    </row>
    <row r="9" customFormat="false" ht="24" hidden="false" customHeight="true" outlineLevel="0" collapsed="false">
      <c r="B9" s="25"/>
      <c r="C9" s="25"/>
      <c r="D9" s="25"/>
      <c r="E9" s="25"/>
      <c r="F9" s="25"/>
      <c r="G9" s="8"/>
      <c r="H9" s="26" t="s">
        <v>29</v>
      </c>
      <c r="I9" s="26"/>
      <c r="J9" s="27" t="s">
        <v>30</v>
      </c>
      <c r="K9" s="28" t="s">
        <v>31</v>
      </c>
      <c r="L9" s="29" t="s">
        <v>32</v>
      </c>
      <c r="M9" s="29"/>
      <c r="N9" s="29"/>
    </row>
    <row r="10" customFormat="false" ht="21" hidden="false" customHeight="true" outlineLevel="0" collapsed="false">
      <c r="G10" s="30" t="s">
        <v>33</v>
      </c>
      <c r="H10" s="30"/>
      <c r="I10" s="30"/>
      <c r="J10" s="30"/>
      <c r="K10" s="30"/>
      <c r="L10" s="30"/>
      <c r="M10" s="30"/>
      <c r="N10" s="30"/>
    </row>
    <row r="11" customFormat="false" ht="24" hidden="false" customHeight="true" outlineLevel="0" collapsed="false">
      <c r="B11" s="31" t="s">
        <v>34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</row>
    <row r="12" customFormat="false" ht="24" hidden="false" customHeight="true" outlineLevel="0" collapsed="false">
      <c r="B12" s="31" t="s">
        <v>35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</row>
    <row r="13" customFormat="false" ht="27.75" hidden="false" customHeight="true" outlineLevel="0" collapsed="false">
      <c r="B13" s="32" t="s">
        <v>36</v>
      </c>
      <c r="C13" s="32"/>
      <c r="D13" s="32"/>
      <c r="E13" s="33" t="s">
        <v>37</v>
      </c>
      <c r="F13" s="33"/>
      <c r="G13" s="33"/>
      <c r="H13" s="33"/>
      <c r="I13" s="33"/>
      <c r="J13" s="33"/>
      <c r="K13" s="34" t="str">
        <f aca="false">"(₩"&amp;TEXT(I36,"#,##0")&amp;"≠)"</f>
        <v>(₩44,000,000≠)</v>
      </c>
      <c r="L13" s="34"/>
      <c r="M13" s="34"/>
      <c r="N13" s="34"/>
    </row>
    <row r="14" customFormat="false" ht="7.5" hidden="false" customHeight="true" outlineLevel="0" collapsed="false"/>
    <row r="15" customFormat="false" ht="25.5" hidden="false" customHeight="true" outlineLevel="0" collapsed="false">
      <c r="B15" s="35" t="s">
        <v>38</v>
      </c>
      <c r="C15" s="35"/>
      <c r="D15" s="35"/>
      <c r="E15" s="36" t="s">
        <v>39</v>
      </c>
      <c r="F15" s="36"/>
      <c r="G15" s="36"/>
      <c r="H15" s="36"/>
      <c r="I15" s="36" t="s">
        <v>40</v>
      </c>
      <c r="J15" s="36"/>
      <c r="K15" s="36" t="s">
        <v>41</v>
      </c>
      <c r="L15" s="36"/>
      <c r="M15" s="37" t="s">
        <v>42</v>
      </c>
      <c r="N15" s="37"/>
    </row>
    <row r="16" customFormat="false" ht="19.5" hidden="false" customHeight="true" outlineLevel="0" collapsed="false">
      <c r="B16" s="38" t="s">
        <v>43</v>
      </c>
      <c r="C16" s="38"/>
      <c r="D16" s="38"/>
      <c r="E16" s="39"/>
      <c r="F16" s="39"/>
      <c r="G16" s="39"/>
      <c r="H16" s="39"/>
      <c r="I16" s="40"/>
      <c r="J16" s="40"/>
      <c r="K16" s="41"/>
      <c r="L16" s="41"/>
      <c r="M16" s="42"/>
      <c r="N16" s="42"/>
    </row>
    <row r="17" customFormat="false" ht="19.5" hidden="false" customHeight="true" outlineLevel="0" collapsed="false">
      <c r="B17" s="43" t="s">
        <v>44</v>
      </c>
      <c r="C17" s="43"/>
      <c r="D17" s="43"/>
      <c r="E17" s="44"/>
      <c r="F17" s="44"/>
      <c r="G17" s="44"/>
      <c r="H17" s="44"/>
      <c r="I17" s="45" t="n">
        <v>10000000</v>
      </c>
      <c r="J17" s="45"/>
      <c r="K17" s="46" t="n">
        <f aca="false">ROUND(I17*0.1,0)</f>
        <v>1000000</v>
      </c>
      <c r="L17" s="46"/>
      <c r="M17" s="47"/>
      <c r="N17" s="47"/>
    </row>
    <row r="18" customFormat="false" ht="19.5" hidden="false" customHeight="true" outlineLevel="0" collapsed="false">
      <c r="B18" s="43" t="s">
        <v>45</v>
      </c>
      <c r="C18" s="43"/>
      <c r="D18" s="43"/>
      <c r="E18" s="44" t="s">
        <v>46</v>
      </c>
      <c r="F18" s="44" t="s">
        <v>47</v>
      </c>
      <c r="G18" s="44" t="s">
        <v>48</v>
      </c>
      <c r="H18" s="44"/>
      <c r="I18" s="45" t="n">
        <v>15000000</v>
      </c>
      <c r="J18" s="45"/>
      <c r="K18" s="46" t="n">
        <f aca="false">ROUND(I18*0.1,0)</f>
        <v>1500000</v>
      </c>
      <c r="L18" s="46"/>
      <c r="M18" s="47"/>
      <c r="N18" s="47"/>
    </row>
    <row r="19" customFormat="false" ht="19.5" hidden="false" customHeight="true" outlineLevel="0" collapsed="false">
      <c r="B19" s="43" t="s">
        <v>49</v>
      </c>
      <c r="C19" s="43"/>
      <c r="D19" s="43"/>
      <c r="E19" s="44"/>
      <c r="F19" s="44"/>
      <c r="G19" s="44"/>
      <c r="H19" s="44"/>
      <c r="I19" s="45" t="n">
        <v>15000000</v>
      </c>
      <c r="J19" s="45"/>
      <c r="K19" s="46" t="n">
        <f aca="false">ROUND(I19*0.1,0)</f>
        <v>1500000</v>
      </c>
      <c r="L19" s="46"/>
      <c r="M19" s="47"/>
      <c r="N19" s="47"/>
    </row>
    <row r="20" customFormat="false" ht="19.5" hidden="false" customHeight="true" outlineLevel="0" collapsed="false">
      <c r="B20" s="43"/>
      <c r="C20" s="43"/>
      <c r="D20" s="43"/>
      <c r="E20" s="44"/>
      <c r="F20" s="44"/>
      <c r="G20" s="44"/>
      <c r="H20" s="44"/>
      <c r="I20" s="45"/>
      <c r="J20" s="45"/>
      <c r="K20" s="46" t="n">
        <f aca="false">ROUND(I20*0.1,0)</f>
        <v>0</v>
      </c>
      <c r="L20" s="46"/>
      <c r="M20" s="47"/>
      <c r="N20" s="47"/>
    </row>
    <row r="21" customFormat="false" ht="19.5" hidden="false" customHeight="true" outlineLevel="0" collapsed="false">
      <c r="B21" s="43"/>
      <c r="C21" s="43"/>
      <c r="D21" s="43"/>
      <c r="E21" s="44"/>
      <c r="F21" s="44"/>
      <c r="G21" s="44"/>
      <c r="H21" s="44"/>
      <c r="I21" s="45"/>
      <c r="J21" s="45"/>
      <c r="K21" s="46" t="n">
        <f aca="false">ROUND(I21*0.1,0)</f>
        <v>0</v>
      </c>
      <c r="L21" s="46"/>
      <c r="M21" s="47"/>
      <c r="N21" s="47"/>
    </row>
    <row r="22" customFormat="false" ht="19.5" hidden="false" customHeight="true" outlineLevel="0" collapsed="false">
      <c r="B22" s="43"/>
      <c r="C22" s="43"/>
      <c r="D22" s="43"/>
      <c r="E22" s="44"/>
      <c r="F22" s="44"/>
      <c r="G22" s="44"/>
      <c r="H22" s="44"/>
      <c r="I22" s="45"/>
      <c r="J22" s="45"/>
      <c r="K22" s="46" t="n">
        <f aca="false">ROUND(I22*0.1,0)</f>
        <v>0</v>
      </c>
      <c r="L22" s="46"/>
      <c r="M22" s="47"/>
      <c r="N22" s="47"/>
    </row>
    <row r="23" customFormat="false" ht="19.5" hidden="false" customHeight="true" outlineLevel="0" collapsed="false">
      <c r="B23" s="43"/>
      <c r="C23" s="43"/>
      <c r="D23" s="43"/>
      <c r="E23" s="44"/>
      <c r="F23" s="44"/>
      <c r="G23" s="44"/>
      <c r="H23" s="44"/>
      <c r="I23" s="45"/>
      <c r="J23" s="45"/>
      <c r="K23" s="46" t="n">
        <f aca="false">ROUND(I23*0.1,0)</f>
        <v>0</v>
      </c>
      <c r="L23" s="46"/>
      <c r="M23" s="47"/>
      <c r="N23" s="47"/>
    </row>
    <row r="24" customFormat="false" ht="19.5" hidden="false" customHeight="true" outlineLevel="0" collapsed="false">
      <c r="B24" s="43"/>
      <c r="C24" s="43"/>
      <c r="D24" s="43"/>
      <c r="E24" s="44"/>
      <c r="F24" s="44"/>
      <c r="G24" s="44"/>
      <c r="H24" s="44"/>
      <c r="I24" s="45"/>
      <c r="J24" s="45"/>
      <c r="K24" s="46" t="n">
        <f aca="false">ROUND(I24*0.1,0)</f>
        <v>0</v>
      </c>
      <c r="L24" s="46"/>
      <c r="M24" s="47"/>
      <c r="N24" s="47"/>
    </row>
    <row r="25" customFormat="false" ht="19.5" hidden="false" customHeight="true" outlineLevel="0" collapsed="false">
      <c r="B25" s="43"/>
      <c r="C25" s="43"/>
      <c r="D25" s="43"/>
      <c r="E25" s="44"/>
      <c r="F25" s="44"/>
      <c r="G25" s="44"/>
      <c r="H25" s="44"/>
      <c r="I25" s="45"/>
      <c r="J25" s="45"/>
      <c r="K25" s="46" t="n">
        <f aca="false">ROUND(I25*0.1,0)</f>
        <v>0</v>
      </c>
      <c r="L25" s="46"/>
      <c r="M25" s="47"/>
      <c r="N25" s="47"/>
    </row>
    <row r="26" customFormat="false" ht="19.5" hidden="false" customHeight="true" outlineLevel="0" collapsed="false">
      <c r="B26" s="43"/>
      <c r="C26" s="43"/>
      <c r="D26" s="43"/>
      <c r="E26" s="44"/>
      <c r="F26" s="44"/>
      <c r="G26" s="44"/>
      <c r="H26" s="44"/>
      <c r="I26" s="45"/>
      <c r="J26" s="45"/>
      <c r="K26" s="46" t="n">
        <f aca="false">ROUND(I26*0.1,0)</f>
        <v>0</v>
      </c>
      <c r="L26" s="46"/>
      <c r="M26" s="47"/>
      <c r="N26" s="47"/>
    </row>
    <row r="27" customFormat="false" ht="19.5" hidden="false" customHeight="true" outlineLevel="0" collapsed="false">
      <c r="B27" s="43"/>
      <c r="C27" s="43"/>
      <c r="D27" s="43"/>
      <c r="E27" s="44"/>
      <c r="F27" s="44"/>
      <c r="G27" s="44"/>
      <c r="H27" s="44"/>
      <c r="I27" s="45"/>
      <c r="J27" s="45"/>
      <c r="K27" s="46" t="n">
        <f aca="false">ROUND(I27*0.1,0)</f>
        <v>0</v>
      </c>
      <c r="L27" s="46"/>
      <c r="M27" s="47"/>
      <c r="N27" s="47"/>
    </row>
    <row r="28" customFormat="false" ht="19.5" hidden="false" customHeight="true" outlineLevel="0" collapsed="false">
      <c r="B28" s="43"/>
      <c r="C28" s="43"/>
      <c r="D28" s="43"/>
      <c r="E28" s="44"/>
      <c r="F28" s="44"/>
      <c r="G28" s="44"/>
      <c r="H28" s="44"/>
      <c r="I28" s="45"/>
      <c r="J28" s="45"/>
      <c r="K28" s="46" t="n">
        <f aca="false">ROUND(I28*0.1,0)</f>
        <v>0</v>
      </c>
      <c r="L28" s="46"/>
      <c r="M28" s="47"/>
      <c r="N28" s="47"/>
    </row>
    <row r="29" customFormat="false" ht="19.5" hidden="false" customHeight="true" outlineLevel="0" collapsed="false">
      <c r="B29" s="43"/>
      <c r="C29" s="43"/>
      <c r="D29" s="43"/>
      <c r="E29" s="44"/>
      <c r="F29" s="44"/>
      <c r="G29" s="44"/>
      <c r="H29" s="44"/>
      <c r="I29" s="45"/>
      <c r="J29" s="45"/>
      <c r="K29" s="46" t="n">
        <f aca="false">ROUND(I29*0.1,0)</f>
        <v>0</v>
      </c>
      <c r="L29" s="46"/>
      <c r="M29" s="47"/>
      <c r="N29" s="47"/>
    </row>
    <row r="30" customFormat="false" ht="19.5" hidden="false" customHeight="true" outlineLevel="0" collapsed="false">
      <c r="B30" s="43"/>
      <c r="C30" s="43"/>
      <c r="D30" s="43"/>
      <c r="E30" s="44"/>
      <c r="F30" s="44"/>
      <c r="G30" s="44"/>
      <c r="H30" s="44"/>
      <c r="I30" s="45"/>
      <c r="J30" s="45"/>
      <c r="K30" s="46" t="n">
        <f aca="false">ROUND(I30*0.1,0)</f>
        <v>0</v>
      </c>
      <c r="L30" s="46"/>
      <c r="M30" s="47"/>
      <c r="N30" s="47"/>
    </row>
    <row r="31" customFormat="false" ht="19.5" hidden="false" customHeight="true" outlineLevel="0" collapsed="false">
      <c r="B31" s="43"/>
      <c r="C31" s="43"/>
      <c r="D31" s="43"/>
      <c r="E31" s="44"/>
      <c r="F31" s="44"/>
      <c r="G31" s="44"/>
      <c r="H31" s="44"/>
      <c r="I31" s="45"/>
      <c r="J31" s="45"/>
      <c r="K31" s="46" t="n">
        <f aca="false">ROUND(I31*0.1,0)</f>
        <v>0</v>
      </c>
      <c r="L31" s="46"/>
      <c r="M31" s="47"/>
      <c r="N31" s="47"/>
    </row>
    <row r="32" customFormat="false" ht="19.5" hidden="false" customHeight="true" outlineLevel="0" collapsed="false">
      <c r="B32" s="43"/>
      <c r="C32" s="43"/>
      <c r="D32" s="43"/>
      <c r="E32" s="44"/>
      <c r="F32" s="44"/>
      <c r="G32" s="44"/>
      <c r="H32" s="44"/>
      <c r="I32" s="45"/>
      <c r="J32" s="45"/>
      <c r="K32" s="46" t="n">
        <f aca="false">ROUND(I32*0.1,0)</f>
        <v>0</v>
      </c>
      <c r="L32" s="46"/>
      <c r="M32" s="47"/>
      <c r="N32" s="47"/>
    </row>
    <row r="33" customFormat="false" ht="19.5" hidden="false" customHeight="true" outlineLevel="0" collapsed="false">
      <c r="B33" s="48"/>
      <c r="C33" s="48"/>
      <c r="D33" s="48"/>
      <c r="E33" s="49"/>
      <c r="F33" s="49"/>
      <c r="G33" s="49"/>
      <c r="H33" s="49"/>
      <c r="I33" s="50"/>
      <c r="J33" s="50"/>
      <c r="K33" s="51" t="n">
        <f aca="false">ROUND(I33*0.1,0)</f>
        <v>0</v>
      </c>
      <c r="L33" s="51"/>
      <c r="M33" s="52"/>
      <c r="N33" s="52"/>
    </row>
    <row r="34" customFormat="false" ht="24" hidden="false" customHeight="true" outlineLevel="0" collapsed="false">
      <c r="B34" s="53" t="s">
        <v>50</v>
      </c>
      <c r="C34" s="53"/>
      <c r="D34" s="53"/>
      <c r="E34" s="54"/>
      <c r="F34" s="54"/>
      <c r="G34" s="54"/>
      <c r="H34" s="54"/>
      <c r="I34" s="55" t="n">
        <f aca="false">ROUNDDOWN(SUM(I16:I33),-5)</f>
        <v>40000000</v>
      </c>
      <c r="J34" s="55"/>
      <c r="K34" s="55"/>
      <c r="L34" s="55"/>
      <c r="M34" s="56" t="s">
        <v>51</v>
      </c>
      <c r="N34" s="56"/>
    </row>
    <row r="35" customFormat="false" ht="24" hidden="false" customHeight="true" outlineLevel="0" collapsed="false">
      <c r="B35" s="57" t="s">
        <v>52</v>
      </c>
      <c r="C35" s="57"/>
      <c r="D35" s="57"/>
      <c r="E35" s="58"/>
      <c r="F35" s="58"/>
      <c r="G35" s="58"/>
      <c r="H35" s="58"/>
      <c r="I35" s="59" t="n">
        <f aca="false">ROUND(I34*0.1,0)</f>
        <v>4000000</v>
      </c>
      <c r="J35" s="59"/>
      <c r="K35" s="59"/>
      <c r="L35" s="59"/>
      <c r="M35" s="60" t="s">
        <v>53</v>
      </c>
      <c r="N35" s="60"/>
    </row>
    <row r="36" customFormat="false" ht="24" hidden="false" customHeight="true" outlineLevel="0" collapsed="false">
      <c r="B36" s="61" t="s">
        <v>54</v>
      </c>
      <c r="C36" s="61"/>
      <c r="D36" s="61"/>
      <c r="E36" s="62"/>
      <c r="F36" s="62"/>
      <c r="G36" s="62"/>
      <c r="H36" s="62"/>
      <c r="I36" s="63" t="n">
        <f aca="false">I34+I35</f>
        <v>44000000</v>
      </c>
      <c r="J36" s="63"/>
      <c r="K36" s="63"/>
      <c r="L36" s="63"/>
      <c r="M36" s="64" t="s">
        <v>53</v>
      </c>
      <c r="N36" s="64"/>
    </row>
    <row r="37" customFormat="false" ht="21.75" hidden="false" customHeight="true" outlineLevel="0" collapsed="false">
      <c r="B37" s="65" t="s">
        <v>55</v>
      </c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</row>
    <row r="38" customFormat="false" ht="21.75" hidden="false" customHeight="true" outlineLevel="0" collapsed="false">
      <c r="B38" s="65" t="s">
        <v>56</v>
      </c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</row>
    <row r="39" customFormat="false" ht="21.75" hidden="false" customHeight="true" outlineLevel="0" collapsed="false">
      <c r="B39" s="65" t="s">
        <v>57</v>
      </c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</row>
    <row r="40" customFormat="false" ht="21.75" hidden="false" customHeight="true" outlineLevel="0" collapsed="false">
      <c r="B40" s="65" t="s">
        <v>58</v>
      </c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</row>
    <row r="41" customFormat="false" ht="21.75" hidden="false" customHeight="true" outlineLevel="0" collapsed="false">
      <c r="B41" s="65" t="s">
        <v>59</v>
      </c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</row>
  </sheetData>
  <mergeCells count="140">
    <mergeCell ref="B2:J2"/>
    <mergeCell ref="K2:L2"/>
    <mergeCell ref="D3:F3"/>
    <mergeCell ref="G3:G9"/>
    <mergeCell ref="H3:I3"/>
    <mergeCell ref="J3:N3"/>
    <mergeCell ref="B4:C4"/>
    <mergeCell ref="D4:F4"/>
    <mergeCell ref="H4:I4"/>
    <mergeCell ref="L4:N4"/>
    <mergeCell ref="B5:C5"/>
    <mergeCell ref="D5:E5"/>
    <mergeCell ref="H5:I5"/>
    <mergeCell ref="J5:N5"/>
    <mergeCell ref="B6:F6"/>
    <mergeCell ref="H6:I8"/>
    <mergeCell ref="K6:K8"/>
    <mergeCell ref="L6:N6"/>
    <mergeCell ref="B7:F7"/>
    <mergeCell ref="L7:N7"/>
    <mergeCell ref="B8:F8"/>
    <mergeCell ref="L8:N8"/>
    <mergeCell ref="B9:F9"/>
    <mergeCell ref="H9:I9"/>
    <mergeCell ref="L9:N9"/>
    <mergeCell ref="G10:N10"/>
    <mergeCell ref="B11:N11"/>
    <mergeCell ref="B12:N12"/>
    <mergeCell ref="B13:D13"/>
    <mergeCell ref="E13:J13"/>
    <mergeCell ref="K13:N13"/>
    <mergeCell ref="B15:D15"/>
    <mergeCell ref="E15:H15"/>
    <mergeCell ref="I15:J15"/>
    <mergeCell ref="K15:L15"/>
    <mergeCell ref="M15:N15"/>
    <mergeCell ref="B16:D16"/>
    <mergeCell ref="G16:H16"/>
    <mergeCell ref="I16:J16"/>
    <mergeCell ref="K16:L16"/>
    <mergeCell ref="M16:N16"/>
    <mergeCell ref="B17:D17"/>
    <mergeCell ref="G17:H17"/>
    <mergeCell ref="I17:J17"/>
    <mergeCell ref="K17:L17"/>
    <mergeCell ref="M17:N17"/>
    <mergeCell ref="B18:D18"/>
    <mergeCell ref="G18:H18"/>
    <mergeCell ref="I18:J18"/>
    <mergeCell ref="K18:L18"/>
    <mergeCell ref="M18:N18"/>
    <mergeCell ref="B19:D19"/>
    <mergeCell ref="G19:H19"/>
    <mergeCell ref="I19:J19"/>
    <mergeCell ref="K19:L19"/>
    <mergeCell ref="M19:N19"/>
    <mergeCell ref="B20:D20"/>
    <mergeCell ref="G20:H20"/>
    <mergeCell ref="I20:J20"/>
    <mergeCell ref="K20:L20"/>
    <mergeCell ref="M20:N20"/>
    <mergeCell ref="B21:D21"/>
    <mergeCell ref="G21:H21"/>
    <mergeCell ref="I21:J21"/>
    <mergeCell ref="K21:L21"/>
    <mergeCell ref="M21:N21"/>
    <mergeCell ref="B22:D22"/>
    <mergeCell ref="G22:H22"/>
    <mergeCell ref="I22:J22"/>
    <mergeCell ref="K22:L22"/>
    <mergeCell ref="M22:N22"/>
    <mergeCell ref="B23:D23"/>
    <mergeCell ref="G23:H23"/>
    <mergeCell ref="I23:J23"/>
    <mergeCell ref="K23:L23"/>
    <mergeCell ref="M23:N23"/>
    <mergeCell ref="B24:D24"/>
    <mergeCell ref="G24:H24"/>
    <mergeCell ref="I24:J24"/>
    <mergeCell ref="K24:L24"/>
    <mergeCell ref="M24:N24"/>
    <mergeCell ref="B25:D25"/>
    <mergeCell ref="G25:H25"/>
    <mergeCell ref="I25:J25"/>
    <mergeCell ref="K25:L25"/>
    <mergeCell ref="M25:N25"/>
    <mergeCell ref="B26:D26"/>
    <mergeCell ref="G26:H26"/>
    <mergeCell ref="I26:J26"/>
    <mergeCell ref="K26:L26"/>
    <mergeCell ref="M26:N26"/>
    <mergeCell ref="B27:D27"/>
    <mergeCell ref="G27:H27"/>
    <mergeCell ref="I27:J27"/>
    <mergeCell ref="K27:L27"/>
    <mergeCell ref="M27:N27"/>
    <mergeCell ref="B28:D28"/>
    <mergeCell ref="G28:H28"/>
    <mergeCell ref="I28:J28"/>
    <mergeCell ref="K28:L28"/>
    <mergeCell ref="M28:N28"/>
    <mergeCell ref="B29:D29"/>
    <mergeCell ref="G29:H29"/>
    <mergeCell ref="I29:J29"/>
    <mergeCell ref="K29:L29"/>
    <mergeCell ref="M29:N29"/>
    <mergeCell ref="B30:D30"/>
    <mergeCell ref="G30:H30"/>
    <mergeCell ref="I30:J30"/>
    <mergeCell ref="K30:L30"/>
    <mergeCell ref="M30:N30"/>
    <mergeCell ref="B31:D31"/>
    <mergeCell ref="G31:H31"/>
    <mergeCell ref="I31:J31"/>
    <mergeCell ref="K31:L31"/>
    <mergeCell ref="M31:N31"/>
    <mergeCell ref="B32:D32"/>
    <mergeCell ref="G32:H32"/>
    <mergeCell ref="I32:J32"/>
    <mergeCell ref="K32:L32"/>
    <mergeCell ref="M32:N32"/>
    <mergeCell ref="B33:D33"/>
    <mergeCell ref="G33:H33"/>
    <mergeCell ref="I33:J33"/>
    <mergeCell ref="K33:L33"/>
    <mergeCell ref="M33:N33"/>
    <mergeCell ref="B34:D34"/>
    <mergeCell ref="I34:L34"/>
    <mergeCell ref="M34:N34"/>
    <mergeCell ref="B35:D35"/>
    <mergeCell ref="I35:L35"/>
    <mergeCell ref="M35:N35"/>
    <mergeCell ref="B36:D36"/>
    <mergeCell ref="I36:L36"/>
    <mergeCell ref="M36:N36"/>
    <mergeCell ref="B37:N37"/>
    <mergeCell ref="B38:N38"/>
    <mergeCell ref="B39:N39"/>
    <mergeCell ref="B40:N40"/>
    <mergeCell ref="B41:N41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2026-09-14T07:09:40Z</dcterms:created>
  <dc:creator>openpyxl</dc:creator>
  <dc:description/>
  <dc:language>en-US</dc:language>
  <cp:lastModifiedBy/>
  <dcterms:modified xsi:type="dcterms:W3CDTF">2026-09-14T07:09:40Z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