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위탁견적서" sheetId="1" state="visible" r:id="rId1"/>
  </sheets>
  <definedNames>
    <definedName name="_xlnm.Print_Area" localSheetId="0">'위탁견적서'!$A$1:$N$41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-#,##0;\-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00000"/>
      <sz val="26"/>
    </font>
    <font>
      <name val="Noto Sans CJK SC"/>
      <family val="2"/>
      <b val="1"/>
      <color rgb="FF000000"/>
      <sz val="10"/>
    </font>
    <font>
      <name val="맑은 고딕"/>
      <charset val="1"/>
      <family val="0"/>
      <b val="1"/>
      <color rgb="FF000000"/>
      <sz val="10"/>
    </font>
    <font>
      <name val="Noto Sans CJK SC"/>
      <family val="2"/>
      <b val="1"/>
      <color rgb="FF000000"/>
      <sz val="9"/>
    </font>
    <font>
      <name val="맑은 고딕"/>
      <charset val="1"/>
      <family val="0"/>
      <b val="1"/>
      <color rgb="FF000000"/>
      <sz val="9"/>
    </font>
    <font>
      <name val="맑은 고딕"/>
      <charset val="1"/>
      <family val="0"/>
      <b val="1"/>
      <color rgb="FF000000"/>
      <sz val="11"/>
    </font>
    <font>
      <name val="Noto Sans CJK SC"/>
      <family val="2"/>
      <b val="1"/>
      <color rgb="FF000000"/>
      <sz val="8"/>
    </font>
    <font>
      <name val="맑은 고딕"/>
      <charset val="1"/>
      <family val="0"/>
      <b val="1"/>
      <color rgb="FF000000"/>
      <sz val="8"/>
    </font>
    <font>
      <name val="Noto Sans CJK SC"/>
      <family val="2"/>
      <b val="1"/>
      <color rgb="FF000000"/>
      <sz val="11"/>
    </font>
    <font>
      <name val="맑은 고딕"/>
      <charset val="1"/>
      <family val="0"/>
      <b val="1"/>
      <color rgb="FF000000"/>
      <sz val="12"/>
    </font>
    <font>
      <name val="Noto Sans CJK SC"/>
      <family val="2"/>
      <b val="1"/>
      <color rgb="FF1F3864"/>
      <sz val="11"/>
    </font>
    <font>
      <name val="맑은 고딕"/>
      <charset val="1"/>
      <family val="0"/>
      <color rgb="FF000000"/>
      <sz val="10"/>
    </font>
    <font>
      <name val="Noto Sans CJK SC"/>
      <family val="2"/>
      <b val="1"/>
      <color rgb="FF000000"/>
      <sz val="7.5"/>
    </font>
    <font>
      <name val="Noto Sans CJK SC"/>
      <family val="2"/>
      <b val="1"/>
      <color rgb="FF1F3864"/>
      <sz val="12"/>
    </font>
    <font>
      <name val="맑은 고딕"/>
      <charset val="1"/>
      <family val="0"/>
      <b val="1"/>
      <color rgb="FF1F3864"/>
      <sz val="12"/>
    </font>
    <font>
      <name val="맑은 고딕"/>
      <charset val="1"/>
      <family val="0"/>
      <color rgb="FF000000"/>
      <sz val="11"/>
    </font>
    <font>
      <name val="Noto Sans CJK SC"/>
      <family val="2"/>
      <color rgb="FF000000"/>
      <sz val="11"/>
    </font>
    <font>
      <name val="Noto Sans CJK SC"/>
      <family val="2"/>
      <b val="1"/>
      <color rgb="FF1F3864"/>
      <sz val="7.5"/>
    </font>
    <font>
      <name val="맑은 고딕"/>
      <charset val="1"/>
      <family val="0"/>
      <b val="1"/>
      <color rgb="FF1F3864"/>
      <sz val="11"/>
    </font>
    <font>
      <name val="Noto Sans CJK SC"/>
      <family val="2"/>
      <b val="1"/>
      <color rgb="FF1F3864"/>
      <sz val="10"/>
    </font>
    <font>
      <name val="맑은 고딕"/>
      <charset val="1"/>
      <family val="0"/>
      <b val="1"/>
      <color rgb="FF1F3864"/>
      <sz val="10"/>
    </font>
    <font>
      <name val="Noto Sans CJK SC"/>
      <family val="2"/>
      <b val="1"/>
      <color rgb="FF000000"/>
      <sz val="12"/>
    </font>
    <font>
      <name val="Noto Sans CJK SC"/>
      <family val="2"/>
      <b val="1"/>
      <color rgb="FF000000"/>
      <sz val="12"/>
      <u val="single"/>
    </font>
    <font>
      <name val="Noto Sans CJK SC"/>
      <family val="2"/>
      <b val="1"/>
      <color rgb="FF000000"/>
      <sz val="10.5"/>
    </font>
    <font>
      <name val="맑은 고딕"/>
      <charset val="1"/>
      <family val="0"/>
      <color rgb="FF000000"/>
      <sz val="8"/>
    </font>
    <font>
      <name val="Noto Sans CJK SC"/>
      <family val="2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DDD9C4"/>
        <bgColor rgb="FFBFBFBF"/>
      </patternFill>
    </fill>
    <fill>
      <patternFill patternType="solid">
        <fgColor rgb="FFBFBFBF"/>
        <bgColor rgb="FFA6A6A6"/>
      </patternFill>
    </fill>
    <fill>
      <patternFill patternType="solid">
        <fgColor rgb="FFFFFF00"/>
        <bgColor rgb="FFFFFF00"/>
      </patternFill>
    </fill>
    <fill>
      <patternFill patternType="solid">
        <fgColor rgb="FFF4B183"/>
        <bgColor rgb="FFFF99CC"/>
      </patternFill>
    </fill>
    <fill>
      <patternFill patternType="solid">
        <fgColor rgb="FFA6A6A6"/>
        <bgColor rgb="FFBFBFBF"/>
      </patternFill>
    </fill>
  </fills>
  <borders count="7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dotted"/>
      <top style="medium"/>
      <bottom style="medium"/>
      <diagonal/>
    </border>
    <border>
      <left style="dotted"/>
      <right style="dotted"/>
      <top style="medium"/>
      <bottom style="dotted"/>
      <diagonal/>
    </border>
    <border>
      <left style="dotted"/>
      <right style="medium"/>
      <top style="medium"/>
      <bottom style="dotted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dotted"/>
      <right style="dotted"/>
      <top style="dotted"/>
      <bottom style="dotted"/>
      <diagonal/>
    </border>
    <border>
      <left style="dotted"/>
      <right style="medium"/>
      <top style="dotted"/>
      <bottom style="dotted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dotted"/>
      <right style="dotted"/>
      <top style="dotted"/>
      <bottom style="medium"/>
      <diagonal/>
    </border>
    <border>
      <left style="dotted"/>
      <right style="medium"/>
      <top style="dotted"/>
      <bottom style="medium"/>
      <diagonal/>
    </border>
    <border>
      <left style="thin"/>
      <right style="dotted"/>
      <top style="thin"/>
      <bottom style="thin"/>
      <diagonal/>
    </border>
    <border>
      <left style="dotted"/>
      <right style="dotted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dotted"/>
      <top style="medium"/>
      <bottom style="dotted"/>
      <diagonal/>
    </border>
    <border>
      <left style="thin"/>
      <right style="dotted"/>
      <top style="thin"/>
      <bottom style="dotted"/>
      <diagonal/>
    </border>
    <border>
      <left style="dotted"/>
      <right style="thin"/>
      <top style="thin"/>
      <bottom style="dotted"/>
      <diagonal/>
    </border>
    <border>
      <left style="medium"/>
      <right style="dotted"/>
      <top style="dotted"/>
      <bottom style="dotted"/>
      <diagonal/>
    </border>
    <border>
      <left style="thin"/>
      <right style="dotted"/>
      <top style="dotted"/>
      <bottom style="dotted"/>
      <diagonal/>
    </border>
    <border>
      <left style="dotted"/>
      <right style="thin"/>
      <top style="dotted"/>
      <bottom style="dotted"/>
      <diagonal/>
    </border>
    <border>
      <left style="medium"/>
      <right style="dotted"/>
      <top style="dotted"/>
      <bottom style="medium"/>
      <diagonal/>
    </border>
    <border>
      <left style="thin"/>
      <right style="dotted"/>
      <top style="dotted"/>
      <bottom style="thin"/>
      <diagonal/>
    </border>
    <border>
      <left style="dotted"/>
      <right style="thin"/>
      <top style="dotted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dotted"/>
      <top/>
      <bottom/>
      <diagonal/>
    </border>
    <border>
      <left style="medium"/>
      <right style="dotted"/>
      <top/>
      <bottom style="medium"/>
      <diagonal/>
    </border>
    <border>
      <left/>
      <right style="dotted"/>
      <top style="medium"/>
      <bottom/>
      <diagonal/>
    </border>
    <border>
      <left/>
      <right style="dotted"/>
      <top style="medium"/>
      <bottom style="dotted"/>
      <diagonal/>
    </border>
    <border>
      <left/>
      <right/>
      <top style="medium"/>
      <bottom style="dotted"/>
      <diagonal/>
    </border>
    <border>
      <left/>
      <right style="medium"/>
      <top style="medium"/>
      <bottom style="dotted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/>
      <right/>
      <top style="dotted"/>
      <bottom/>
      <diagonal/>
    </border>
    <border>
      <left/>
      <right style="dotted"/>
      <top style="dotted"/>
      <bottom/>
      <diagonal/>
    </border>
    <border>
      <left/>
      <right style="dotted"/>
      <top style="dotted"/>
      <bottom style="dotted"/>
      <diagonal/>
    </border>
    <border>
      <left/>
      <right style="medium"/>
      <top style="dotted"/>
      <bottom/>
      <diagonal/>
    </border>
    <border>
      <left/>
      <right/>
      <top style="dotted"/>
      <bottom style="dotted"/>
      <diagonal/>
    </border>
    <border>
      <left/>
      <right style="medium"/>
      <top style="dotted"/>
      <bottom style="dotted"/>
      <diagonal/>
    </border>
    <border>
      <left style="dotted"/>
      <right/>
      <top/>
      <bottom/>
      <diagonal/>
    </border>
    <border>
      <left/>
      <right style="dotted"/>
      <top/>
      <bottom/>
      <diagonal/>
    </border>
    <border>
      <left style="dotted"/>
      <right/>
      <top/>
      <bottom style="dotted"/>
      <diagonal/>
    </border>
    <border>
      <left/>
      <right style="dotted"/>
      <top/>
      <bottom style="dotted"/>
      <diagonal/>
    </border>
    <border>
      <left style="dotted"/>
      <right style="dotted"/>
      <top/>
      <bottom/>
      <diagonal/>
    </border>
    <border>
      <left style="dotted"/>
      <right style="dotted"/>
      <top/>
      <bottom style="dotted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dotted"/>
      <top style="dotted"/>
      <bottom style="medium"/>
      <diagonal/>
    </border>
    <border>
      <left/>
      <right/>
      <top style="dotted"/>
      <bottom style="medium"/>
      <diagonal/>
    </border>
    <border>
      <left/>
      <right style="medium"/>
      <top style="dotted"/>
      <bottom style="medium"/>
      <diagonal/>
    </border>
    <border>
      <left/>
      <right style="dotted"/>
      <top style="thin"/>
      <bottom/>
      <diagonal/>
    </border>
    <border>
      <left/>
      <right style="dotted"/>
      <top style="thin"/>
      <bottom style="thin"/>
      <diagonal/>
    </border>
    <border>
      <left/>
      <right style="thin"/>
      <top style="medium"/>
      <bottom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dotted"/>
      <top style="thin"/>
      <bottom style="dotted"/>
      <diagonal/>
    </border>
    <border>
      <left/>
      <right style="thin"/>
      <top style="thin"/>
      <bottom style="dotted"/>
      <diagonal/>
    </border>
    <border>
      <left/>
      <right style="thin"/>
      <top style="dotted"/>
      <bottom/>
      <diagonal/>
    </border>
    <border>
      <left/>
      <right style="thin"/>
      <top style="dotted"/>
      <bottom style="dotted"/>
      <diagonal/>
    </border>
    <border>
      <left/>
      <right style="dotted"/>
      <top style="dotted"/>
      <bottom style="thin"/>
      <diagonal/>
    </border>
    <border>
      <left/>
      <right style="thin"/>
      <top style="dotted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indent="1"/>
    </xf>
    <xf numFmtId="0" fontId="6" fillId="0" borderId="3" applyAlignment="1" pivotButton="0" quotePrefix="0" xfId="0">
      <alignment horizontal="left" vertical="center" indent="1"/>
    </xf>
    <xf numFmtId="0" fontId="10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 indent="1"/>
    </xf>
    <xf numFmtId="0" fontId="16" fillId="0" borderId="9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 indent="1"/>
    </xf>
    <xf numFmtId="0" fontId="20" fillId="0" borderId="12" applyAlignment="1" pivotButton="0" quotePrefix="0" xfId="0">
      <alignment horizontal="left" vertical="center" indent="1"/>
    </xf>
    <xf numFmtId="0" fontId="21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7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8" fillId="4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25" fillId="6" borderId="16" applyAlignment="1" pivotButton="0" quotePrefix="0" xfId="0">
      <alignment horizontal="center" vertical="center"/>
    </xf>
    <xf numFmtId="0" fontId="26" fillId="6" borderId="17" applyAlignment="1" pivotButton="0" quotePrefix="0" xfId="0">
      <alignment horizontal="left" vertical="center" indent="1"/>
    </xf>
    <xf numFmtId="0" fontId="13" fillId="6" borderId="17" applyAlignment="1" pivotButton="0" quotePrefix="0" xfId="0">
      <alignment horizontal="center" vertical="center"/>
    </xf>
    <xf numFmtId="0" fontId="12" fillId="7" borderId="18" applyAlignment="1" pivotButton="0" quotePrefix="0" xfId="0">
      <alignment horizontal="center" vertical="center"/>
    </xf>
    <xf numFmtId="0" fontId="12" fillId="7" borderId="19" applyAlignment="1" pivotButton="0" quotePrefix="0" xfId="0">
      <alignment horizontal="center" vertical="center"/>
    </xf>
    <xf numFmtId="0" fontId="12" fillId="7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left" vertical="center" indent="1"/>
    </xf>
    <xf numFmtId="0" fontId="28" fillId="0" borderId="6" applyAlignment="1" pivotButton="0" quotePrefix="0" xfId="0">
      <alignment horizontal="center" vertical="center"/>
    </xf>
    <xf numFmtId="3" fontId="19" fillId="6" borderId="22" applyAlignment="1" pivotButton="0" quotePrefix="0" xfId="0">
      <alignment horizontal="right" vertical="center" indent="1"/>
    </xf>
    <xf numFmtId="164" fontId="19" fillId="6" borderId="23" applyAlignment="1" pivotButton="0" quotePrefix="0" xfId="0">
      <alignment horizontal="right" vertical="center" indent="1"/>
    </xf>
    <xf numFmtId="0" fontId="0" fillId="0" borderId="7" applyAlignment="1" pivotButton="0" quotePrefix="0" xfId="0">
      <alignment horizontal="general" vertical="bottom"/>
    </xf>
    <xf numFmtId="0" fontId="29" fillId="0" borderId="24" applyAlignment="1" pivotButton="0" quotePrefix="0" xfId="0">
      <alignment horizontal="left" vertical="center" indent="2"/>
    </xf>
    <xf numFmtId="0" fontId="28" fillId="0" borderId="10" applyAlignment="1" pivotButton="0" quotePrefix="0" xfId="0">
      <alignment horizontal="center" vertical="center"/>
    </xf>
    <xf numFmtId="3" fontId="19" fillId="6" borderId="25" applyAlignment="1" pivotButton="0" quotePrefix="0" xfId="0">
      <alignment horizontal="right" vertical="center" indent="1"/>
    </xf>
    <xf numFmtId="164" fontId="19" fillId="6" borderId="26" applyAlignment="1" pivotButton="0" quotePrefix="0" xfId="0">
      <alignment horizontal="right" vertical="center" indent="1"/>
    </xf>
    <xf numFmtId="0" fontId="0" fillId="0" borderId="11" applyAlignment="1" pivotButton="0" quotePrefix="0" xfId="0">
      <alignment horizontal="general" vertical="bottom"/>
    </xf>
    <xf numFmtId="0" fontId="15" fillId="0" borderId="27" applyAlignment="1" pivotButton="0" quotePrefix="0" xfId="0">
      <alignment horizontal="left" vertical="center" indent="2"/>
    </xf>
    <xf numFmtId="0" fontId="28" fillId="0" borderId="14" applyAlignment="1" pivotButton="0" quotePrefix="0" xfId="0">
      <alignment horizontal="center" vertical="center"/>
    </xf>
    <xf numFmtId="3" fontId="19" fillId="6" borderId="28" applyAlignment="1" pivotButton="0" quotePrefix="0" xfId="0">
      <alignment horizontal="right" vertical="center" indent="1"/>
    </xf>
    <xf numFmtId="164" fontId="19" fillId="6" borderId="29" applyAlignment="1" pivotButton="0" quotePrefix="0" xfId="0">
      <alignment horizontal="right" vertical="center" indent="1"/>
    </xf>
    <xf numFmtId="0" fontId="0" fillId="0" borderId="15" applyAlignment="1" pivotButton="0" quotePrefix="0" xfId="0">
      <alignment horizontal="general" vertical="bottom"/>
    </xf>
    <xf numFmtId="0" fontId="25" fillId="6" borderId="21" applyAlignment="1" pivotButton="0" quotePrefix="0" xfId="0">
      <alignment horizontal="center" vertical="center"/>
    </xf>
    <xf numFmtId="0" fontId="0" fillId="6" borderId="6" applyAlignment="1" pivotButton="0" quotePrefix="0" xfId="0">
      <alignment horizontal="general" vertical="bottom"/>
    </xf>
    <xf numFmtId="3" fontId="13" fillId="6" borderId="6" applyAlignment="1" pivotButton="0" quotePrefix="0" xfId="0">
      <alignment horizontal="right" vertical="center" indent="1"/>
    </xf>
    <xf numFmtId="0" fontId="7" fillId="6" borderId="7" applyAlignment="1" pivotButton="0" quotePrefix="0" xfId="0">
      <alignment horizontal="left" vertical="center" indent="1"/>
    </xf>
    <xf numFmtId="0" fontId="25" fillId="6" borderId="24" applyAlignment="1" pivotButton="0" quotePrefix="0" xfId="0">
      <alignment horizontal="center" vertical="center"/>
    </xf>
    <xf numFmtId="0" fontId="0" fillId="6" borderId="10" applyAlignment="1" pivotButton="0" quotePrefix="0" xfId="0">
      <alignment horizontal="general" vertical="bottom"/>
    </xf>
    <xf numFmtId="3" fontId="13" fillId="6" borderId="10" applyAlignment="1" pivotButton="0" quotePrefix="0" xfId="0">
      <alignment horizontal="right" vertical="center" indent="1"/>
    </xf>
    <xf numFmtId="0" fontId="5" fillId="6" borderId="11" applyAlignment="1" pivotButton="0" quotePrefix="0" xfId="0">
      <alignment horizontal="left" vertical="center" indent="1"/>
    </xf>
    <xf numFmtId="0" fontId="25" fillId="6" borderId="27" applyAlignment="1" pivotButton="0" quotePrefix="0" xfId="0">
      <alignment horizontal="center" vertical="center"/>
    </xf>
    <xf numFmtId="0" fontId="0" fillId="6" borderId="14" applyAlignment="1" pivotButton="0" quotePrefix="0" xfId="0">
      <alignment horizontal="general" vertical="bottom"/>
    </xf>
    <xf numFmtId="3" fontId="13" fillId="6" borderId="14" applyAlignment="1" pivotButton="0" quotePrefix="0" xfId="0">
      <alignment horizontal="right" vertical="center" indent="1"/>
    </xf>
    <xf numFmtId="0" fontId="5" fillId="6" borderId="15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32" pivotButton="0" quotePrefix="0" xfId="0"/>
    <xf numFmtId="0" fontId="7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indent="1"/>
    </xf>
    <xf numFmtId="0" fontId="6" fillId="0" borderId="3" applyAlignment="1" pivotButton="0" quotePrefix="0" xfId="0">
      <alignment horizontal="left" vertical="center" indent="1"/>
    </xf>
    <xf numFmtId="0" fontId="10" fillId="0" borderId="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12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0" fontId="0" fillId="0" borderId="41" pivotButton="0" quotePrefix="0" xfId="0"/>
    <xf numFmtId="0" fontId="13" fillId="0" borderId="7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12" fillId="3" borderId="8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38" pivotButton="0" quotePrefix="0" xfId="0"/>
    <xf numFmtId="0" fontId="7" fillId="0" borderId="10" applyAlignment="1" pivotButton="0" quotePrefix="0" xfId="0">
      <alignment horizontal="center" vertical="center"/>
    </xf>
    <xf numFmtId="0" fontId="0" fillId="0" borderId="49" pivotButton="0" quotePrefix="0" xfId="0"/>
    <xf numFmtId="0" fontId="14" fillId="0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0" fontId="15" fillId="0" borderId="8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 indent="1"/>
    </xf>
    <xf numFmtId="0" fontId="16" fillId="0" borderId="9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 indent="1"/>
    </xf>
    <xf numFmtId="0" fontId="0" fillId="0" borderId="48" pivotButton="0" quotePrefix="0" xfId="0"/>
    <xf numFmtId="0" fontId="20" fillId="0" borderId="12" applyAlignment="1" pivotButton="0" quotePrefix="0" xfId="0">
      <alignment horizontal="left" vertical="center" indent="1"/>
    </xf>
    <xf numFmtId="0" fontId="0" fillId="0" borderId="53" pivotButton="0" quotePrefix="0" xfId="0"/>
    <xf numFmtId="0" fontId="0" fillId="0" borderId="54" pivotButton="0" quotePrefix="0" xfId="0"/>
    <xf numFmtId="0" fontId="0" fillId="0" borderId="57" pivotButton="0" quotePrefix="0" xfId="0"/>
    <xf numFmtId="0" fontId="21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general" vertical="bottom"/>
    </xf>
    <xf numFmtId="0" fontId="0" fillId="0" borderId="55" pivotButton="0" quotePrefix="0" xfId="0"/>
    <xf numFmtId="0" fontId="0" fillId="0" borderId="56" pivotButton="0" quotePrefix="0" xfId="0"/>
    <xf numFmtId="0" fontId="0" fillId="0" borderId="58" pivotButton="0" quotePrefix="0" xfId="0"/>
    <xf numFmtId="0" fontId="0" fillId="0" borderId="13" applyAlignment="1" pivotButton="0" quotePrefix="0" xfId="0">
      <alignment horizontal="general" vertical="bottom"/>
    </xf>
    <xf numFmtId="0" fontId="0" fillId="0" borderId="59" pivotButton="0" quotePrefix="0" xfId="0"/>
    <xf numFmtId="0" fontId="0" fillId="0" borderId="60" pivotButton="0" quotePrefix="0" xfId="0"/>
    <xf numFmtId="0" fontId="0" fillId="0" borderId="39" pivotButton="0" quotePrefix="0" xfId="0"/>
    <xf numFmtId="0" fontId="7" fillId="0" borderId="14" applyAlignment="1" pivotButton="0" quotePrefix="0" xfId="0">
      <alignment horizontal="center" vertical="center"/>
    </xf>
    <xf numFmtId="0" fontId="0" fillId="0" borderId="61" pivotButton="0" quotePrefix="0" xfId="0"/>
    <xf numFmtId="0" fontId="22" fillId="0" borderId="14" applyAlignment="1" pivotButton="0" quotePrefix="0" xfId="0">
      <alignment horizontal="center" vertical="center"/>
    </xf>
    <xf numFmtId="0" fontId="8" fillId="4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3" pivotButton="0" quotePrefix="0" xfId="0"/>
    <xf numFmtId="0" fontId="23" fillId="5" borderId="1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25" fillId="6" borderId="16" applyAlignment="1" pivotButton="0" quotePrefix="0" xfId="0">
      <alignment horizontal="center" vertical="center"/>
    </xf>
    <xf numFmtId="0" fontId="0" fillId="0" borderId="65" pivotButton="0" quotePrefix="0" xfId="0"/>
    <xf numFmtId="0" fontId="26" fillId="6" borderId="17" applyAlignment="1" pivotButton="0" quotePrefix="0" xfId="0">
      <alignment horizontal="left" vertical="center" indent="1"/>
    </xf>
    <xf numFmtId="0" fontId="13" fillId="6" borderId="17" applyAlignment="1" pivotButton="0" quotePrefix="0" xfId="0">
      <alignment horizontal="center" vertical="center"/>
    </xf>
    <xf numFmtId="0" fontId="12" fillId="7" borderId="18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12" fillId="7" borderId="19" applyAlignment="1" pivotButton="0" quotePrefix="0" xfId="0">
      <alignment horizontal="center" vertical="center"/>
    </xf>
    <xf numFmtId="0" fontId="12" fillId="7" borderId="20" applyAlignment="1" pivotButton="0" quotePrefix="0" xfId="0">
      <alignment horizontal="center" vertical="center"/>
    </xf>
    <xf numFmtId="0" fontId="0" fillId="0" borderId="69" pivotButton="0" quotePrefix="0" xfId="0"/>
    <xf numFmtId="0" fontId="27" fillId="0" borderId="21" applyAlignment="1" pivotButton="0" quotePrefix="0" xfId="0">
      <alignment horizontal="left" vertical="center" indent="1"/>
    </xf>
    <xf numFmtId="0" fontId="28" fillId="0" borderId="6" applyAlignment="1" pivotButton="0" quotePrefix="0" xfId="0">
      <alignment horizontal="center" vertical="center"/>
    </xf>
    <xf numFmtId="3" fontId="19" fillId="6" borderId="22" applyAlignment="1" pivotButton="0" quotePrefix="0" xfId="0">
      <alignment horizontal="right" vertical="center" indent="1"/>
    </xf>
    <xf numFmtId="0" fontId="0" fillId="0" borderId="70" pivotButton="0" quotePrefix="0" xfId="0"/>
    <xf numFmtId="164" fontId="19" fillId="6" borderId="23" applyAlignment="1" pivotButton="0" quotePrefix="0" xfId="0">
      <alignment horizontal="right" vertical="center" indent="1"/>
    </xf>
    <xf numFmtId="0" fontId="0" fillId="0" borderId="71" pivotButton="0" quotePrefix="0" xfId="0"/>
    <xf numFmtId="0" fontId="0" fillId="0" borderId="7" applyAlignment="1" pivotButton="0" quotePrefix="0" xfId="0">
      <alignment horizontal="general" vertical="bottom"/>
    </xf>
    <xf numFmtId="0" fontId="29" fillId="0" borderId="24" applyAlignment="1" pivotButton="0" quotePrefix="0" xfId="0">
      <alignment horizontal="left" vertical="center" indent="2"/>
    </xf>
    <xf numFmtId="0" fontId="28" fillId="0" borderId="10" applyAlignment="1" pivotButton="0" quotePrefix="0" xfId="0">
      <alignment horizontal="center" vertical="center"/>
    </xf>
    <xf numFmtId="3" fontId="19" fillId="6" borderId="25" applyAlignment="1" pivotButton="0" quotePrefix="0" xfId="0">
      <alignment horizontal="right" vertical="center" indent="1"/>
    </xf>
    <xf numFmtId="164" fontId="19" fillId="6" borderId="26" applyAlignment="1" pivotButton="0" quotePrefix="0" xfId="0">
      <alignment horizontal="right" vertical="center" indent="1"/>
    </xf>
    <xf numFmtId="0" fontId="0" fillId="0" borderId="73" pivotButton="0" quotePrefix="0" xfId="0"/>
    <xf numFmtId="0" fontId="0" fillId="0" borderId="11" applyAlignment="1" pivotButton="0" quotePrefix="0" xfId="0">
      <alignment horizontal="general" vertical="bottom"/>
    </xf>
    <xf numFmtId="0" fontId="15" fillId="0" borderId="27" applyAlignment="1" pivotButton="0" quotePrefix="0" xfId="0">
      <alignment horizontal="left" vertical="center" indent="2"/>
    </xf>
    <xf numFmtId="0" fontId="28" fillId="0" borderId="14" applyAlignment="1" pivotButton="0" quotePrefix="0" xfId="0">
      <alignment horizontal="center" vertical="center"/>
    </xf>
    <xf numFmtId="3" fontId="19" fillId="6" borderId="28" applyAlignment="1" pivotButton="0" quotePrefix="0" xfId="0">
      <alignment horizontal="right" vertical="center" indent="1"/>
    </xf>
    <xf numFmtId="0" fontId="0" fillId="0" borderId="74" pivotButton="0" quotePrefix="0" xfId="0"/>
    <xf numFmtId="164" fontId="19" fillId="6" borderId="29" applyAlignment="1" pivotButton="0" quotePrefix="0" xfId="0">
      <alignment horizontal="right" vertical="center" indent="1"/>
    </xf>
    <xf numFmtId="0" fontId="0" fillId="0" borderId="75" pivotButton="0" quotePrefix="0" xfId="0"/>
    <xf numFmtId="0" fontId="0" fillId="0" borderId="15" applyAlignment="1" pivotButton="0" quotePrefix="0" xfId="0">
      <alignment horizontal="general" vertical="bottom"/>
    </xf>
    <xf numFmtId="0" fontId="25" fillId="6" borderId="21" applyAlignment="1" pivotButton="0" quotePrefix="0" xfId="0">
      <alignment horizontal="center" vertical="center"/>
    </xf>
    <xf numFmtId="0" fontId="0" fillId="6" borderId="6" applyAlignment="1" pivotButton="0" quotePrefix="0" xfId="0">
      <alignment horizontal="general" vertical="bottom"/>
    </xf>
    <xf numFmtId="3" fontId="13" fillId="6" borderId="6" applyAlignment="1" pivotButton="0" quotePrefix="0" xfId="0">
      <alignment horizontal="right" vertical="center" indent="1"/>
    </xf>
    <xf numFmtId="0" fontId="7" fillId="6" borderId="7" applyAlignment="1" pivotButton="0" quotePrefix="0" xfId="0">
      <alignment horizontal="left" vertical="center" indent="1"/>
    </xf>
    <xf numFmtId="0" fontId="25" fillId="6" borderId="24" applyAlignment="1" pivotButton="0" quotePrefix="0" xfId="0">
      <alignment horizontal="center" vertical="center"/>
    </xf>
    <xf numFmtId="0" fontId="0" fillId="6" borderId="10" applyAlignment="1" pivotButton="0" quotePrefix="0" xfId="0">
      <alignment horizontal="general" vertical="bottom"/>
    </xf>
    <xf numFmtId="3" fontId="13" fillId="6" borderId="10" applyAlignment="1" pivotButton="0" quotePrefix="0" xfId="0">
      <alignment horizontal="right" vertical="center" indent="1"/>
    </xf>
    <xf numFmtId="0" fontId="5" fillId="6" borderId="11" applyAlignment="1" pivotButton="0" quotePrefix="0" xfId="0">
      <alignment horizontal="left" vertical="center" indent="1"/>
    </xf>
    <xf numFmtId="0" fontId="25" fillId="6" borderId="27" applyAlignment="1" pivotButton="0" quotePrefix="0" xfId="0">
      <alignment horizontal="center" vertical="center"/>
    </xf>
    <xf numFmtId="0" fontId="0" fillId="6" borderId="14" applyAlignment="1" pivotButton="0" quotePrefix="0" xfId="0">
      <alignment horizontal="general" vertical="bottom"/>
    </xf>
    <xf numFmtId="3" fontId="13" fillId="6" borderId="14" applyAlignment="1" pivotButton="0" quotePrefix="0" xfId="0">
      <alignment horizontal="right" vertical="center" indent="1"/>
    </xf>
    <xf numFmtId="0" fontId="5" fillId="6" borderId="15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N41"/>
  <sheetViews>
    <sheetView showFormulas="0" showGridLines="0" showRowColHeaders="1" showZeros="1" rightToLeft="0" tabSelected="1" showOutlineSymbols="1" defaultGridColor="1" view="normal" topLeftCell="A16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66" min="1" max="1"/>
    <col width="9" customWidth="1" style="66" min="2" max="2"/>
    <col width="11.8" customWidth="1" style="66" min="3" max="3"/>
    <col width="12.1" customWidth="1" style="66" min="4" max="4"/>
    <col width="8.609999999999999" customWidth="1" style="66" min="5" max="5"/>
    <col width="3.2" customWidth="1" style="66" min="6" max="6"/>
    <col width="2.6" customWidth="1" style="66" min="7" max="7"/>
    <col width="5" customWidth="1" style="66" min="8" max="8"/>
    <col width="5.2" customWidth="1" style="66" min="9" max="9"/>
    <col width="18.7" customWidth="1" style="66" min="10" max="10"/>
    <col width="4.5" customWidth="1" style="66" min="12" max="12"/>
    <col width="11" customWidth="1" style="66" min="13" max="13"/>
    <col width="4.8" customWidth="1" style="66" min="14" max="14"/>
  </cols>
  <sheetData>
    <row r="1" ht="6.75" customHeight="1" s="67"/>
    <row r="2" ht="42" customHeight="1" s="67">
      <c r="B2" s="68" t="inlineStr">
        <is>
          <t>견     적     서</t>
        </is>
      </c>
      <c r="K2" s="69" t="inlineStr">
        <is>
          <t>견적NO</t>
        </is>
      </c>
      <c r="L2" s="70" t="n"/>
      <c r="M2" s="71" t="inlineStr">
        <is>
          <t>혁신 2026-B</t>
        </is>
      </c>
      <c r="N2" s="72" t="inlineStr">
        <is>
          <t>005</t>
        </is>
      </c>
    </row>
    <row r="3" ht="24" customHeight="1" s="67">
      <c r="B3" s="73" t="inlineStr">
        <is>
          <t>견적일자:</t>
        </is>
      </c>
      <c r="C3" s="74" t="inlineStr">
        <is>
          <t>2026/5/13</t>
        </is>
      </c>
      <c r="D3" s="75" t="inlineStr">
        <is>
          <t>견적유효일: 견적일로부터 30일</t>
        </is>
      </c>
      <c r="E3" s="76" t="n"/>
      <c r="F3" s="77" t="n"/>
      <c r="G3" s="78" t="inlineStr">
        <is>
          <t>공
급
자</t>
        </is>
      </c>
      <c r="H3" s="79" t="inlineStr">
        <is>
          <t>등록번호</t>
        </is>
      </c>
      <c r="I3" s="80" t="n"/>
      <c r="J3" s="81" t="inlineStr">
        <is>
          <t>612-81-23163</t>
        </is>
      </c>
      <c r="K3" s="82" t="n"/>
      <c r="L3" s="82" t="n"/>
      <c r="M3" s="82" t="n"/>
      <c r="N3" s="83" t="n"/>
    </row>
    <row r="4" ht="24" customHeight="1" s="67">
      <c r="B4" s="84" t="inlineStr">
        <is>
          <t>삼성중공업㈜</t>
        </is>
      </c>
      <c r="C4" s="70" t="n"/>
      <c r="D4" s="85" t="inlineStr">
        <is>
          <t>자동화인프라T/F</t>
        </is>
      </c>
      <c r="E4" s="86" t="n"/>
      <c r="F4" s="87" t="n"/>
      <c r="G4" s="88" t="n"/>
      <c r="H4" s="89" t="inlineStr">
        <is>
          <t>상    호</t>
        </is>
      </c>
      <c r="I4" s="90" t="n"/>
      <c r="J4" s="91" t="inlineStr">
        <is>
          <t>쏘테크㈜</t>
        </is>
      </c>
      <c r="K4" s="92" t="inlineStr">
        <is>
          <t>대 표 자</t>
        </is>
      </c>
      <c r="L4" s="93" t="inlineStr">
        <is>
          <t>선인규</t>
        </is>
      </c>
      <c r="M4" s="94" t="n"/>
      <c r="N4" s="95" t="n"/>
    </row>
    <row r="5" ht="24" customHeight="1" s="67">
      <c r="B5" s="96" t="n"/>
      <c r="C5" s="70" t="n"/>
      <c r="D5" s="97" t="inlineStr">
        <is>
          <t>조중호 TF리더님</t>
        </is>
      </c>
      <c r="E5" s="70" t="n"/>
      <c r="F5" s="98" t="inlineStr">
        <is>
          <t>귀하</t>
        </is>
      </c>
      <c r="G5" s="88" t="n"/>
      <c r="H5" s="89" t="inlineStr">
        <is>
          <t>주    소</t>
        </is>
      </c>
      <c r="I5" s="90" t="n"/>
      <c r="J5" s="99" t="inlineStr">
        <is>
          <t>경남 거제 장평3로 75</t>
        </is>
      </c>
      <c r="K5" s="94" t="n"/>
      <c r="L5" s="94" t="n"/>
      <c r="M5" s="94" t="n"/>
      <c r="N5" s="95" t="n"/>
    </row>
    <row r="6" ht="24" customHeight="1" s="67">
      <c r="B6" s="100" t="inlineStr">
        <is>
          <t>C.C 이경수 프로님</t>
        </is>
      </c>
      <c r="C6" s="86" t="n"/>
      <c r="D6" s="86" t="n"/>
      <c r="E6" s="86" t="n"/>
      <c r="F6" s="87" t="n"/>
      <c r="G6" s="88" t="n"/>
      <c r="H6" s="89" t="inlineStr">
        <is>
          <t>업    태</t>
        </is>
      </c>
      <c r="I6" s="101" t="n"/>
      <c r="J6" s="91" t="inlineStr">
        <is>
          <t>서비스</t>
        </is>
      </c>
      <c r="K6" s="92" t="inlineStr">
        <is>
          <t>종    목</t>
        </is>
      </c>
      <c r="L6" s="93" t="inlineStr">
        <is>
          <t>선박임가공</t>
        </is>
      </c>
      <c r="M6" s="94" t="n"/>
      <c r="N6" s="95" t="n"/>
    </row>
    <row r="7" ht="24" customHeight="1" s="67">
      <c r="B7" s="102" t="inlineStr">
        <is>
          <t>아래와 같이 견적합니다.</t>
        </is>
      </c>
      <c r="C7" s="86" t="n"/>
      <c r="D7" s="86" t="n"/>
      <c r="E7" s="86" t="n"/>
      <c r="F7" s="87" t="n"/>
      <c r="G7" s="88" t="n"/>
      <c r="H7" s="103" t="n"/>
      <c r="I7" s="104" t="n"/>
      <c r="J7" s="91" t="inlineStr">
        <is>
          <t>정보통신업</t>
        </is>
      </c>
      <c r="K7" s="105" t="n"/>
      <c r="L7" s="106" t="inlineStr">
        <is>
          <t>응용 소프트웨어 개발 및 공급업</t>
        </is>
      </c>
      <c r="M7" s="94" t="n"/>
      <c r="N7" s="95" t="n"/>
    </row>
    <row r="8" ht="24" customHeight="1" s="67">
      <c r="B8" s="107" t="n"/>
      <c r="C8" s="86" t="n"/>
      <c r="D8" s="86" t="n"/>
      <c r="E8" s="86" t="n"/>
      <c r="F8" s="87" t="n"/>
      <c r="G8" s="88" t="n"/>
      <c r="H8" s="108" t="n"/>
      <c r="I8" s="109" t="n"/>
      <c r="J8" s="91" t="inlineStr">
        <is>
          <t>서비스</t>
        </is>
      </c>
      <c r="K8" s="110" t="n"/>
      <c r="L8" s="93" t="inlineStr">
        <is>
          <t>기술검사</t>
        </is>
      </c>
      <c r="M8" s="94" t="n"/>
      <c r="N8" s="95" t="n"/>
    </row>
    <row r="9" ht="24" customHeight="1" s="67">
      <c r="B9" s="111" t="n"/>
      <c r="C9" s="112" t="n"/>
      <c r="D9" s="112" t="n"/>
      <c r="E9" s="112" t="n"/>
      <c r="F9" s="113" t="n"/>
      <c r="G9" s="114" t="n"/>
      <c r="H9" s="115" t="inlineStr">
        <is>
          <t>전화번호</t>
        </is>
      </c>
      <c r="I9" s="116" t="n"/>
      <c r="J9" s="117" t="inlineStr">
        <is>
          <t>055-630-1263</t>
        </is>
      </c>
      <c r="K9" s="118" t="inlineStr">
        <is>
          <t>F  A  X</t>
        </is>
      </c>
      <c r="L9" s="119" t="inlineStr">
        <is>
          <t>055-631-5286</t>
        </is>
      </c>
      <c r="M9" s="120" t="n"/>
      <c r="N9" s="121" t="n"/>
    </row>
    <row r="10" ht="21" customHeight="1" s="67">
      <c r="G10" s="122" t="inlineStr">
        <is>
          <t>견적 작성처 정보 : 스마트혁신팀 스마트개발그룹 / 구성현 그룹장</t>
        </is>
      </c>
      <c r="H10" s="86" t="n"/>
      <c r="I10" s="86" t="n"/>
      <c r="J10" s="86" t="n"/>
      <c r="K10" s="86" t="n"/>
      <c r="L10" s="86" t="n"/>
      <c r="M10" s="86" t="n"/>
      <c r="N10" s="70" t="n"/>
    </row>
    <row r="11" ht="24" customHeight="1" s="67">
      <c r="B11" s="123" t="inlineStr">
        <is>
          <t>1. 귀사의 일익 번창하심을 기원합니다.</t>
        </is>
      </c>
    </row>
    <row r="12" ht="24" customHeight="1" s="67">
      <c r="B12" s="123" t="inlineStr">
        <is>
          <t>2. 귀부서의 업무 협조에 깊은 감사를 드리며, 상기의 건 관련하여 견적서를 아래와 같이 제출합니다.</t>
        </is>
      </c>
    </row>
    <row r="13" ht="27.75" customHeight="1" s="67">
      <c r="B13" s="124" t="inlineStr">
        <is>
          <t>합계금액(공급가액+세액)</t>
        </is>
      </c>
      <c r="C13" s="86" t="n"/>
      <c r="D13" s="125" t="n"/>
      <c r="E13" s="126" t="inlineStr">
        <is>
          <t>일금  사천사백만원정</t>
        </is>
      </c>
      <c r="F13" s="86" t="n"/>
      <c r="G13" s="86" t="n"/>
      <c r="H13" s="86" t="n"/>
      <c r="I13" s="86" t="n"/>
      <c r="J13" s="125" t="n"/>
      <c r="K13" s="127">
        <f>"(₩"&amp;TEXT(I36,"#,##0")&amp;"≠)"</f>
        <v/>
      </c>
      <c r="L13" s="86" t="n"/>
      <c r="M13" s="86" t="n"/>
      <c r="N13" s="125" t="n"/>
    </row>
    <row r="14" ht="7.5" customHeight="1" s="67"/>
    <row r="15" ht="25.5" customHeight="1" s="67">
      <c r="B15" s="128" t="inlineStr">
        <is>
          <t>용역(계약)</t>
        </is>
      </c>
      <c r="C15" s="129" t="n"/>
      <c r="D15" s="130" t="n"/>
      <c r="E15" s="131" t="inlineStr">
        <is>
          <t>용역(계약) 기간</t>
        </is>
      </c>
      <c r="F15" s="129" t="n"/>
      <c r="G15" s="129" t="n"/>
      <c r="H15" s="130" t="n"/>
      <c r="I15" s="131" t="inlineStr">
        <is>
          <t>공급가액</t>
        </is>
      </c>
      <c r="J15" s="130" t="n"/>
      <c r="K15" s="131" t="inlineStr">
        <is>
          <t>세액</t>
        </is>
      </c>
      <c r="L15" s="130" t="n"/>
      <c r="M15" s="132" t="inlineStr">
        <is>
          <t>비고</t>
        </is>
      </c>
      <c r="N15" s="133" t="n"/>
    </row>
    <row r="16" ht="19.5" customHeight="1" s="67">
      <c r="B16" s="134" t="inlineStr">
        <is>
          <t>크레인 충돌 방지 시스템</t>
        </is>
      </c>
      <c r="C16" s="82" t="n"/>
      <c r="D16" s="80" t="n"/>
      <c r="E16" s="135" t="n"/>
      <c r="F16" s="135" t="n"/>
      <c r="G16" s="135" t="n"/>
      <c r="H16" s="80" t="n"/>
      <c r="I16" s="136" t="n"/>
      <c r="J16" s="137" t="n"/>
      <c r="K16" s="138" t="n"/>
      <c r="L16" s="139" t="n"/>
      <c r="M16" s="140" t="n"/>
      <c r="N16" s="83" t="n"/>
    </row>
    <row r="17" ht="19.5" customHeight="1" s="67">
      <c r="B17" s="141" t="inlineStr">
        <is>
          <t>프레임워크 및 WAS 환경 구축</t>
        </is>
      </c>
      <c r="C17" s="94" t="n"/>
      <c r="D17" s="90" t="n"/>
      <c r="E17" s="142" t="n"/>
      <c r="F17" s="142" t="n"/>
      <c r="G17" s="142" t="n"/>
      <c r="H17" s="90" t="n"/>
      <c r="I17" s="143" t="n">
        <v>10000000</v>
      </c>
      <c r="J17" s="90" t="n"/>
      <c r="K17" s="144">
        <f>ROUND(I17*0.1,0)</f>
        <v/>
      </c>
      <c r="L17" s="145" t="n"/>
      <c r="M17" s="146" t="n"/>
      <c r="N17" s="95" t="n"/>
    </row>
    <row r="18" ht="19.5" customHeight="1" s="67">
      <c r="B18" s="141" t="inlineStr">
        <is>
          <t>프론트엔드 개발</t>
        </is>
      </c>
      <c r="C18" s="94" t="n"/>
      <c r="D18" s="90" t="n"/>
      <c r="E18" s="142" t="inlineStr">
        <is>
          <t>2026.06.01</t>
        </is>
      </c>
      <c r="F18" s="142" t="inlineStr">
        <is>
          <t>~</t>
        </is>
      </c>
      <c r="G18" s="142" t="inlineStr">
        <is>
          <t>2026.08.31</t>
        </is>
      </c>
      <c r="H18" s="90" t="n"/>
      <c r="I18" s="143" t="n">
        <v>15000000</v>
      </c>
      <c r="J18" s="90" t="n"/>
      <c r="K18" s="144">
        <f>ROUND(I18*0.1,0)</f>
        <v/>
      </c>
      <c r="L18" s="145" t="n"/>
      <c r="M18" s="146" t="n"/>
      <c r="N18" s="95" t="n"/>
    </row>
    <row r="19" ht="19.5" customHeight="1" s="67">
      <c r="B19" s="141" t="inlineStr">
        <is>
          <t>백엔드 개발</t>
        </is>
      </c>
      <c r="C19" s="94" t="n"/>
      <c r="D19" s="90" t="n"/>
      <c r="E19" s="142" t="n"/>
      <c r="F19" s="142" t="n"/>
      <c r="G19" s="142" t="n"/>
      <c r="H19" s="90" t="n"/>
      <c r="I19" s="143" t="n">
        <v>15000000</v>
      </c>
      <c r="J19" s="90" t="n"/>
      <c r="K19" s="144">
        <f>ROUND(I19*0.1,0)</f>
        <v/>
      </c>
      <c r="L19" s="145" t="n"/>
      <c r="M19" s="146" t="n"/>
      <c r="N19" s="95" t="n"/>
    </row>
    <row r="20" ht="19.5" customHeight="1" s="67">
      <c r="B20" s="141" t="n"/>
      <c r="C20" s="94" t="n"/>
      <c r="D20" s="90" t="n"/>
      <c r="E20" s="142" t="n"/>
      <c r="F20" s="142" t="n"/>
      <c r="G20" s="142" t="n"/>
      <c r="H20" s="90" t="n"/>
      <c r="I20" s="143" t="n"/>
      <c r="J20" s="90" t="n"/>
      <c r="K20" s="144">
        <f>ROUND(I20*0.1,0)</f>
        <v/>
      </c>
      <c r="L20" s="145" t="n"/>
      <c r="M20" s="146" t="n"/>
      <c r="N20" s="95" t="n"/>
    </row>
    <row r="21" ht="19.5" customHeight="1" s="67">
      <c r="B21" s="141" t="n"/>
      <c r="C21" s="94" t="n"/>
      <c r="D21" s="90" t="n"/>
      <c r="E21" s="142" t="n"/>
      <c r="F21" s="142" t="n"/>
      <c r="G21" s="142" t="n"/>
      <c r="H21" s="90" t="n"/>
      <c r="I21" s="143" t="n"/>
      <c r="J21" s="90" t="n"/>
      <c r="K21" s="144">
        <f>ROUND(I21*0.1,0)</f>
        <v/>
      </c>
      <c r="L21" s="145" t="n"/>
      <c r="M21" s="146" t="n"/>
      <c r="N21" s="95" t="n"/>
    </row>
    <row r="22" ht="19.5" customHeight="1" s="67">
      <c r="B22" s="141" t="n"/>
      <c r="C22" s="94" t="n"/>
      <c r="D22" s="90" t="n"/>
      <c r="E22" s="142" t="n"/>
      <c r="F22" s="142" t="n"/>
      <c r="G22" s="142" t="n"/>
      <c r="H22" s="90" t="n"/>
      <c r="I22" s="143" t="n"/>
      <c r="J22" s="90" t="n"/>
      <c r="K22" s="144">
        <f>ROUND(I22*0.1,0)</f>
        <v/>
      </c>
      <c r="L22" s="145" t="n"/>
      <c r="M22" s="146" t="n"/>
      <c r="N22" s="95" t="n"/>
    </row>
    <row r="23" ht="19.5" customHeight="1" s="67">
      <c r="B23" s="141" t="n"/>
      <c r="C23" s="94" t="n"/>
      <c r="D23" s="90" t="n"/>
      <c r="E23" s="142" t="n"/>
      <c r="F23" s="142" t="n"/>
      <c r="G23" s="142" t="n"/>
      <c r="H23" s="90" t="n"/>
      <c r="I23" s="143" t="n"/>
      <c r="J23" s="90" t="n"/>
      <c r="K23" s="144">
        <f>ROUND(I23*0.1,0)</f>
        <v/>
      </c>
      <c r="L23" s="145" t="n"/>
      <c r="M23" s="146" t="n"/>
      <c r="N23" s="95" t="n"/>
    </row>
    <row r="24" ht="19.5" customHeight="1" s="67">
      <c r="B24" s="141" t="n"/>
      <c r="C24" s="94" t="n"/>
      <c r="D24" s="90" t="n"/>
      <c r="E24" s="142" t="n"/>
      <c r="F24" s="142" t="n"/>
      <c r="G24" s="142" t="n"/>
      <c r="H24" s="90" t="n"/>
      <c r="I24" s="143" t="n"/>
      <c r="J24" s="90" t="n"/>
      <c r="K24" s="144">
        <f>ROUND(I24*0.1,0)</f>
        <v/>
      </c>
      <c r="L24" s="145" t="n"/>
      <c r="M24" s="146" t="n"/>
      <c r="N24" s="95" t="n"/>
    </row>
    <row r="25" ht="19.5" customHeight="1" s="67">
      <c r="B25" s="141" t="n"/>
      <c r="C25" s="94" t="n"/>
      <c r="D25" s="90" t="n"/>
      <c r="E25" s="142" t="n"/>
      <c r="F25" s="142" t="n"/>
      <c r="G25" s="142" t="n"/>
      <c r="H25" s="90" t="n"/>
      <c r="I25" s="143" t="n"/>
      <c r="J25" s="90" t="n"/>
      <c r="K25" s="144">
        <f>ROUND(I25*0.1,0)</f>
        <v/>
      </c>
      <c r="L25" s="145" t="n"/>
      <c r="M25" s="146" t="n"/>
      <c r="N25" s="95" t="n"/>
    </row>
    <row r="26" ht="19.5" customHeight="1" s="67">
      <c r="B26" s="141" t="n"/>
      <c r="C26" s="94" t="n"/>
      <c r="D26" s="90" t="n"/>
      <c r="E26" s="142" t="n"/>
      <c r="F26" s="142" t="n"/>
      <c r="G26" s="142" t="n"/>
      <c r="H26" s="90" t="n"/>
      <c r="I26" s="143" t="n"/>
      <c r="J26" s="90" t="n"/>
      <c r="K26" s="144">
        <f>ROUND(I26*0.1,0)</f>
        <v/>
      </c>
      <c r="L26" s="145" t="n"/>
      <c r="M26" s="146" t="n"/>
      <c r="N26" s="95" t="n"/>
    </row>
    <row r="27" ht="19.5" customHeight="1" s="67">
      <c r="B27" s="141" t="n"/>
      <c r="C27" s="94" t="n"/>
      <c r="D27" s="90" t="n"/>
      <c r="E27" s="142" t="n"/>
      <c r="F27" s="142" t="n"/>
      <c r="G27" s="142" t="n"/>
      <c r="H27" s="90" t="n"/>
      <c r="I27" s="143" t="n"/>
      <c r="J27" s="90" t="n"/>
      <c r="K27" s="144">
        <f>ROUND(I27*0.1,0)</f>
        <v/>
      </c>
      <c r="L27" s="145" t="n"/>
      <c r="M27" s="146" t="n"/>
      <c r="N27" s="95" t="n"/>
    </row>
    <row r="28" ht="19.5" customHeight="1" s="67">
      <c r="B28" s="141" t="n"/>
      <c r="C28" s="94" t="n"/>
      <c r="D28" s="90" t="n"/>
      <c r="E28" s="142" t="n"/>
      <c r="F28" s="142" t="n"/>
      <c r="G28" s="142" t="n"/>
      <c r="H28" s="90" t="n"/>
      <c r="I28" s="143" t="n"/>
      <c r="J28" s="90" t="n"/>
      <c r="K28" s="144">
        <f>ROUND(I28*0.1,0)</f>
        <v/>
      </c>
      <c r="L28" s="145" t="n"/>
      <c r="M28" s="146" t="n"/>
      <c r="N28" s="95" t="n"/>
    </row>
    <row r="29" ht="19.5" customHeight="1" s="67">
      <c r="B29" s="141" t="n"/>
      <c r="C29" s="94" t="n"/>
      <c r="D29" s="90" t="n"/>
      <c r="E29" s="142" t="n"/>
      <c r="F29" s="142" t="n"/>
      <c r="G29" s="142" t="n"/>
      <c r="H29" s="90" t="n"/>
      <c r="I29" s="143" t="n"/>
      <c r="J29" s="90" t="n"/>
      <c r="K29" s="144">
        <f>ROUND(I29*0.1,0)</f>
        <v/>
      </c>
      <c r="L29" s="145" t="n"/>
      <c r="M29" s="146" t="n"/>
      <c r="N29" s="95" t="n"/>
    </row>
    <row r="30" ht="19.5" customHeight="1" s="67">
      <c r="B30" s="141" t="n"/>
      <c r="C30" s="94" t="n"/>
      <c r="D30" s="90" t="n"/>
      <c r="E30" s="142" t="n"/>
      <c r="F30" s="142" t="n"/>
      <c r="G30" s="142" t="n"/>
      <c r="H30" s="90" t="n"/>
      <c r="I30" s="143" t="n"/>
      <c r="J30" s="90" t="n"/>
      <c r="K30" s="144">
        <f>ROUND(I30*0.1,0)</f>
        <v/>
      </c>
      <c r="L30" s="145" t="n"/>
      <c r="M30" s="146" t="n"/>
      <c r="N30" s="95" t="n"/>
    </row>
    <row r="31" ht="19.5" customHeight="1" s="67">
      <c r="B31" s="141" t="n"/>
      <c r="C31" s="94" t="n"/>
      <c r="D31" s="90" t="n"/>
      <c r="E31" s="142" t="n"/>
      <c r="F31" s="142" t="n"/>
      <c r="G31" s="142" t="n"/>
      <c r="H31" s="90" t="n"/>
      <c r="I31" s="143" t="n"/>
      <c r="J31" s="90" t="n"/>
      <c r="K31" s="144">
        <f>ROUND(I31*0.1,0)</f>
        <v/>
      </c>
      <c r="L31" s="145" t="n"/>
      <c r="M31" s="146" t="n"/>
      <c r="N31" s="95" t="n"/>
    </row>
    <row r="32" ht="19.5" customHeight="1" s="67">
      <c r="B32" s="141" t="n"/>
      <c r="C32" s="94" t="n"/>
      <c r="D32" s="90" t="n"/>
      <c r="E32" s="142" t="n"/>
      <c r="F32" s="142" t="n"/>
      <c r="G32" s="142" t="n"/>
      <c r="H32" s="90" t="n"/>
      <c r="I32" s="143" t="n"/>
      <c r="J32" s="90" t="n"/>
      <c r="K32" s="144">
        <f>ROUND(I32*0.1,0)</f>
        <v/>
      </c>
      <c r="L32" s="145" t="n"/>
      <c r="M32" s="146" t="n"/>
      <c r="N32" s="95" t="n"/>
    </row>
    <row r="33" ht="19.5" customHeight="1" s="67">
      <c r="B33" s="147" t="n"/>
      <c r="C33" s="120" t="n"/>
      <c r="D33" s="116" t="n"/>
      <c r="E33" s="148" t="n"/>
      <c r="F33" s="148" t="n"/>
      <c r="G33" s="148" t="n"/>
      <c r="H33" s="116" t="n"/>
      <c r="I33" s="149" t="n"/>
      <c r="J33" s="150" t="n"/>
      <c r="K33" s="151">
        <f>ROUND(I33*0.1,0)</f>
        <v/>
      </c>
      <c r="L33" s="152" t="n"/>
      <c r="M33" s="153" t="n"/>
      <c r="N33" s="121" t="n"/>
    </row>
    <row r="34" ht="24" customHeight="1" s="67">
      <c r="B34" s="154" t="inlineStr">
        <is>
          <t>공  급  가  액</t>
        </is>
      </c>
      <c r="C34" s="82" t="n"/>
      <c r="D34" s="80" t="n"/>
      <c r="E34" s="155" t="n"/>
      <c r="F34" s="155" t="n"/>
      <c r="G34" s="155" t="n"/>
      <c r="H34" s="155" t="n"/>
      <c r="I34" s="156">
        <f>ROUNDDOWN(SUM(I16:I33),-5)</f>
        <v/>
      </c>
      <c r="J34" s="82" t="n"/>
      <c r="K34" s="82" t="n"/>
      <c r="L34" s="80" t="n"/>
      <c r="M34" s="157" t="inlineStr">
        <is>
          <t>원(십만단위절사)</t>
        </is>
      </c>
      <c r="N34" s="83" t="n"/>
    </row>
    <row r="35" ht="24" customHeight="1" s="67">
      <c r="B35" s="158" t="inlineStr">
        <is>
          <t>세          액</t>
        </is>
      </c>
      <c r="C35" s="94" t="n"/>
      <c r="D35" s="90" t="n"/>
      <c r="E35" s="159" t="n"/>
      <c r="F35" s="159" t="n"/>
      <c r="G35" s="159" t="n"/>
      <c r="H35" s="159" t="n"/>
      <c r="I35" s="160">
        <f>ROUND(I34*0.1,0)</f>
        <v/>
      </c>
      <c r="J35" s="94" t="n"/>
      <c r="K35" s="94" t="n"/>
      <c r="L35" s="90" t="n"/>
      <c r="M35" s="161" t="inlineStr">
        <is>
          <t>원</t>
        </is>
      </c>
      <c r="N35" s="95" t="n"/>
    </row>
    <row r="36" ht="24" customHeight="1" s="67">
      <c r="B36" s="162" t="inlineStr">
        <is>
          <t>합          계</t>
        </is>
      </c>
      <c r="C36" s="120" t="n"/>
      <c r="D36" s="116" t="n"/>
      <c r="E36" s="163" t="n"/>
      <c r="F36" s="163" t="n"/>
      <c r="G36" s="163" t="n"/>
      <c r="H36" s="163" t="n"/>
      <c r="I36" s="164">
        <f>I34+I35</f>
        <v/>
      </c>
      <c r="J36" s="120" t="n"/>
      <c r="K36" s="120" t="n"/>
      <c r="L36" s="116" t="n"/>
      <c r="M36" s="165" t="inlineStr">
        <is>
          <t>원</t>
        </is>
      </c>
      <c r="N36" s="121" t="n"/>
    </row>
    <row r="37" ht="21.75" customHeight="1" s="67">
      <c r="B37" s="166" t="inlineStr">
        <is>
          <t>3. 대금 결제조건 : 귀사의 결제 조건에 따름.</t>
        </is>
      </c>
      <c r="C37" s="86" t="n"/>
      <c r="D37" s="86" t="n"/>
      <c r="E37" s="86" t="n"/>
      <c r="F37" s="86" t="n"/>
      <c r="G37" s="86" t="n"/>
      <c r="H37" s="86" t="n"/>
      <c r="I37" s="86" t="n"/>
      <c r="J37" s="86" t="n"/>
      <c r="K37" s="86" t="n"/>
      <c r="L37" s="86" t="n"/>
      <c r="M37" s="86" t="n"/>
      <c r="N37" s="70" t="n"/>
    </row>
    <row r="38" ht="21.75" customHeight="1" s="67">
      <c r="B38" s="166" t="inlineStr">
        <is>
          <t>4. 납품조건</t>
        </is>
      </c>
      <c r="C38" s="86" t="n"/>
      <c r="D38" s="86" t="n"/>
      <c r="E38" s="86" t="n"/>
      <c r="F38" s="86" t="n"/>
      <c r="G38" s="86" t="n"/>
      <c r="H38" s="86" t="n"/>
      <c r="I38" s="86" t="n"/>
      <c r="J38" s="86" t="n"/>
      <c r="K38" s="86" t="n"/>
      <c r="L38" s="86" t="n"/>
      <c r="M38" s="86" t="n"/>
      <c r="N38" s="70" t="n"/>
    </row>
    <row r="39" ht="21.75" customHeight="1" s="67">
      <c r="B39" s="167" t="inlineStr">
        <is>
          <t xml:space="preserve">   - 제출용 : 귀사의 작성 기준에 준함.</t>
        </is>
      </c>
      <c r="C39" s="86" t="n"/>
      <c r="D39" s="86" t="n"/>
      <c r="E39" s="86" t="n"/>
      <c r="F39" s="86" t="n"/>
      <c r="G39" s="86" t="n"/>
      <c r="H39" s="86" t="n"/>
      <c r="I39" s="86" t="n"/>
      <c r="J39" s="86" t="n"/>
      <c r="K39" s="86" t="n"/>
      <c r="L39" s="86" t="n"/>
      <c r="M39" s="86" t="n"/>
      <c r="N39" s="70" t="n"/>
    </row>
    <row r="40" ht="21.75" customHeight="1" s="67">
      <c r="B40" s="166" t="inlineStr">
        <is>
          <r>
            <rPr>
              <rFont val="맑은 고딕"/>
              <b val="1"/>
              <color rgb="FF000000"/>
              <sz val="11"/>
            </rPr>
            <t xml:space="preserve">5. WORK SCOPE : </t>
          </r>
          <r>
            <rPr>
              <rFont val="맑은 고딕"/>
              <color rgb="FF000000"/>
              <sz val="11"/>
            </rPr>
            <t>귀사의 설계용역 범위내</t>
          </r>
        </is>
      </c>
      <c r="C40" s="86" t="n"/>
      <c r="D40" s="86" t="n"/>
      <c r="E40" s="86" t="n"/>
      <c r="F40" s="86" t="n"/>
      <c r="G40" s="86" t="n"/>
      <c r="H40" s="86" t="n"/>
      <c r="I40" s="86" t="n"/>
      <c r="J40" s="86" t="n"/>
      <c r="K40" s="86" t="n"/>
      <c r="L40" s="86" t="n"/>
      <c r="M40" s="86" t="n"/>
      <c r="N40" s="70" t="n"/>
    </row>
    <row r="41" ht="21.75" customHeight="1" s="67">
      <c r="B41" s="166" t="inlineStr">
        <is>
          <r>
            <rPr>
              <rFont val="맑은 고딕"/>
              <b val="1"/>
              <color rgb="FF000000"/>
              <sz val="11"/>
            </rPr>
            <t xml:space="preserve">6. 납  기 : </t>
          </r>
          <r>
            <rPr>
              <rFont val="맑은 고딕"/>
              <color rgb="FF000000"/>
              <sz val="11"/>
            </rPr>
            <t>귀사의 일정에 준하여 일정표 제출 예정임</t>
          </r>
        </is>
      </c>
      <c r="C41" s="86" t="n"/>
      <c r="D41" s="86" t="n"/>
      <c r="E41" s="86" t="n"/>
      <c r="F41" s="86" t="n"/>
      <c r="G41" s="86" t="n"/>
      <c r="H41" s="86" t="n"/>
      <c r="I41" s="86" t="n"/>
      <c r="J41" s="86" t="n"/>
      <c r="K41" s="86" t="n"/>
      <c r="L41" s="86" t="n"/>
      <c r="M41" s="86" t="n"/>
      <c r="N41" s="70" t="n"/>
    </row>
  </sheetData>
  <mergeCells count="140">
    <mergeCell ref="G21:H21"/>
    <mergeCell ref="B7:F7"/>
    <mergeCell ref="K24:L24"/>
    <mergeCell ref="K33:L33"/>
    <mergeCell ref="G23:H23"/>
    <mergeCell ref="I26:J26"/>
    <mergeCell ref="H9:I9"/>
    <mergeCell ref="B34:D34"/>
    <mergeCell ref="K26:L26"/>
    <mergeCell ref="B28:D28"/>
    <mergeCell ref="M35:N35"/>
    <mergeCell ref="I16:J16"/>
    <mergeCell ref="I25:J25"/>
    <mergeCell ref="L9:N9"/>
    <mergeCell ref="B30:D30"/>
    <mergeCell ref="G18:H18"/>
    <mergeCell ref="I18:J18"/>
    <mergeCell ref="B20:D20"/>
    <mergeCell ref="M16:N16"/>
    <mergeCell ref="M25:N25"/>
    <mergeCell ref="K2:L2"/>
    <mergeCell ref="B12:N12"/>
    <mergeCell ref="M36:N36"/>
    <mergeCell ref="M18:N18"/>
    <mergeCell ref="M33:N33"/>
    <mergeCell ref="B39:N39"/>
    <mergeCell ref="M17:N17"/>
    <mergeCell ref="G20:H20"/>
    <mergeCell ref="J3:N3"/>
    <mergeCell ref="B6:F6"/>
    <mergeCell ref="I20:J20"/>
    <mergeCell ref="K28:L28"/>
    <mergeCell ref="M19:N19"/>
    <mergeCell ref="G22:H22"/>
    <mergeCell ref="B2:J2"/>
    <mergeCell ref="I30:J30"/>
    <mergeCell ref="K30:L30"/>
    <mergeCell ref="I15:J15"/>
    <mergeCell ref="K15:L15"/>
    <mergeCell ref="B17:D17"/>
    <mergeCell ref="L8:N8"/>
    <mergeCell ref="K21:L21"/>
    <mergeCell ref="K13:N13"/>
    <mergeCell ref="B19:D19"/>
    <mergeCell ref="B41:N41"/>
    <mergeCell ref="I32:J32"/>
    <mergeCell ref="K32:L32"/>
    <mergeCell ref="D3:F3"/>
    <mergeCell ref="G10:N10"/>
    <mergeCell ref="B8:F8"/>
    <mergeCell ref="B36:D36"/>
    <mergeCell ref="M21:N21"/>
    <mergeCell ref="G24:H24"/>
    <mergeCell ref="I24:J24"/>
    <mergeCell ref="G33:H33"/>
    <mergeCell ref="I33:J33"/>
    <mergeCell ref="K27:L27"/>
    <mergeCell ref="M27:N27"/>
    <mergeCell ref="B11:N11"/>
    <mergeCell ref="I17:J17"/>
    <mergeCell ref="B9:F9"/>
    <mergeCell ref="G26:H26"/>
    <mergeCell ref="K17:L17"/>
    <mergeCell ref="H3:I3"/>
    <mergeCell ref="M24:N24"/>
    <mergeCell ref="B31:D31"/>
    <mergeCell ref="G16:H16"/>
    <mergeCell ref="G25:H25"/>
    <mergeCell ref="I19:J19"/>
    <mergeCell ref="K19:L19"/>
    <mergeCell ref="H5:I5"/>
    <mergeCell ref="B21:D21"/>
    <mergeCell ref="B38:N38"/>
    <mergeCell ref="K16:L16"/>
    <mergeCell ref="K25:L25"/>
    <mergeCell ref="M34:N34"/>
    <mergeCell ref="B23:D23"/>
    <mergeCell ref="J5:N5"/>
    <mergeCell ref="I35:L35"/>
    <mergeCell ref="B40:N40"/>
    <mergeCell ref="B13:D13"/>
    <mergeCell ref="L4:N4"/>
    <mergeCell ref="K29:L29"/>
    <mergeCell ref="K6:K8"/>
    <mergeCell ref="K31:L31"/>
    <mergeCell ref="M31:N31"/>
    <mergeCell ref="I21:J21"/>
    <mergeCell ref="M15:N15"/>
    <mergeCell ref="B35:D35"/>
    <mergeCell ref="I23:J23"/>
    <mergeCell ref="K23:L23"/>
    <mergeCell ref="B25:D25"/>
    <mergeCell ref="M26:N26"/>
    <mergeCell ref="M29:N29"/>
    <mergeCell ref="B5:C5"/>
    <mergeCell ref="B22:D22"/>
    <mergeCell ref="M23:N23"/>
    <mergeCell ref="D5:E5"/>
    <mergeCell ref="G32:H32"/>
    <mergeCell ref="E15:H15"/>
    <mergeCell ref="K18:L18"/>
    <mergeCell ref="B4:C4"/>
    <mergeCell ref="B37:N37"/>
    <mergeCell ref="E13:J13"/>
    <mergeCell ref="G27:H27"/>
    <mergeCell ref="I27:J27"/>
    <mergeCell ref="H4:I4"/>
    <mergeCell ref="B29:D29"/>
    <mergeCell ref="G17:H17"/>
    <mergeCell ref="K20:L20"/>
    <mergeCell ref="M20:N20"/>
    <mergeCell ref="D4:F4"/>
    <mergeCell ref="I34:L34"/>
    <mergeCell ref="G19:H19"/>
    <mergeCell ref="G28:H28"/>
    <mergeCell ref="I22:J22"/>
    <mergeCell ref="I28:J28"/>
    <mergeCell ref="B15:D15"/>
    <mergeCell ref="K22:L22"/>
    <mergeCell ref="L6:N6"/>
    <mergeCell ref="M22:N22"/>
    <mergeCell ref="H6:I8"/>
    <mergeCell ref="B24:D24"/>
    <mergeCell ref="B33:D33"/>
    <mergeCell ref="I36:L36"/>
    <mergeCell ref="M30:N30"/>
    <mergeCell ref="G30:H30"/>
    <mergeCell ref="B32:D32"/>
    <mergeCell ref="M28:N28"/>
    <mergeCell ref="B26:D26"/>
    <mergeCell ref="B16:D16"/>
    <mergeCell ref="L7:N7"/>
    <mergeCell ref="G29:H29"/>
    <mergeCell ref="I29:J29"/>
    <mergeCell ref="M32:N32"/>
    <mergeCell ref="B18:D18"/>
    <mergeCell ref="B27:D27"/>
    <mergeCell ref="G3:G9"/>
    <mergeCell ref="G31:H31"/>
    <mergeCell ref="I31:J31"/>
  </mergeCell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2026-09-14T07:09:40Z</dcterms:created>
  <dcterms:modified xsi:type="dcterms:W3CDTF">2026-09-14T09:06:30Z</dcterms:modified>
  <cp:revision>0</cp:revision>
</cp:coreProperties>
</file>